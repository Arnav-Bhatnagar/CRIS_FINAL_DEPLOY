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Sheet1!$A$1:$M$21644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<sst xmlns="http://schemas.openxmlformats.org/spreadsheetml/2006/main" count="1994" uniqueCount="559">
  <si>
    <t>Unnamed: 0</t>
  </si>
  <si>
    <t>Train</t>
  </si>
  <si>
    <t>Prev_Block</t>
  </si>
  <si>
    <t>Prev_Block_Line</t>
  </si>
  <si>
    <t>Station_Sequence</t>
  </si>
  <si>
    <t>Station</t>
  </si>
  <si>
    <t>Station_Line</t>
  </si>
  <si>
    <t>Next_Block</t>
  </si>
  <si>
    <t>Next_Block_Line</t>
  </si>
  <si>
    <t>Entry_Time</t>
  </si>
  <si>
    <t>Exit_Time</t>
  </si>
  <si>
    <t>Block_Exit_Time</t>
  </si>
  <si>
    <t>Cumulative_Distance</t>
  </si>
  <si>
    <t>12021_0</t>
  </si>
  <si>
    <t>Not_Defined</t>
  </si>
  <si>
    <t>HWH</t>
  </si>
  <si>
    <t>HWH-TPKR</t>
  </si>
  <si>
    <t>TPKR</t>
  </si>
  <si>
    <t>TPKR-DSNR</t>
  </si>
  <si>
    <t>DSNR</t>
  </si>
  <si>
    <t>DSNR-RMJ</t>
  </si>
  <si>
    <t>RMJ</t>
  </si>
  <si>
    <t>RMJ-SRC</t>
  </si>
  <si>
    <t>SRC</t>
  </si>
  <si>
    <t>SRC-MRGM</t>
  </si>
  <si>
    <t>MRGM</t>
  </si>
  <si>
    <t>MRGM-ADL</t>
  </si>
  <si>
    <t>ADL</t>
  </si>
  <si>
    <t>ADL-SEL</t>
  </si>
  <si>
    <t>SEL</t>
  </si>
  <si>
    <t>SEL-ABB</t>
  </si>
  <si>
    <t>ABB</t>
  </si>
  <si>
    <t>ABB-NALR</t>
  </si>
  <si>
    <t>NALR</t>
  </si>
  <si>
    <t>NALR-BVA</t>
  </si>
  <si>
    <t>BVA</t>
  </si>
  <si>
    <t>BVA-CGA</t>
  </si>
  <si>
    <t>CGA</t>
  </si>
  <si>
    <t>CGA-FLR</t>
  </si>
  <si>
    <t>FLR</t>
  </si>
  <si>
    <t>FLR-ULB</t>
  </si>
  <si>
    <t>ULB</t>
  </si>
  <si>
    <t>ULB-BSBP</t>
  </si>
  <si>
    <t>BSBP</t>
  </si>
  <si>
    <t>BSBP-KGY</t>
  </si>
  <si>
    <t>KGY</t>
  </si>
  <si>
    <t>KGY-BZN</t>
  </si>
  <si>
    <t>BZN</t>
  </si>
  <si>
    <t>BZN-GGTA</t>
  </si>
  <si>
    <t>GGTA</t>
  </si>
  <si>
    <t>GGTA-DTE</t>
  </si>
  <si>
    <t>DTE</t>
  </si>
  <si>
    <t>DTE-QGT</t>
  </si>
  <si>
    <t>QGT</t>
  </si>
  <si>
    <t>QGT-MCA</t>
  </si>
  <si>
    <t>MCA</t>
  </si>
  <si>
    <t>MCA-NDGJ</t>
  </si>
  <si>
    <t>NDGJ</t>
  </si>
  <si>
    <t>NDGJ-BOP</t>
  </si>
  <si>
    <t>BOP</t>
  </si>
  <si>
    <t>BOP-NPMR</t>
  </si>
  <si>
    <t>NPMR</t>
  </si>
  <si>
    <t>NPMR-PKEO</t>
  </si>
  <si>
    <t>PKEO</t>
  </si>
  <si>
    <t>PKEO-PKU</t>
  </si>
  <si>
    <t>PKU</t>
  </si>
  <si>
    <t>PKU-KHAI</t>
  </si>
  <si>
    <t>KHAI</t>
  </si>
  <si>
    <t>KHAI-HAUR</t>
  </si>
  <si>
    <t>HAUR</t>
  </si>
  <si>
    <t>HAUR-RDU</t>
  </si>
  <si>
    <t>RDU</t>
  </si>
  <si>
    <t>RDU-DUAN</t>
  </si>
  <si>
    <t>DUAN</t>
  </si>
  <si>
    <t>DUAN-BCK</t>
  </si>
  <si>
    <t>BCK</t>
  </si>
  <si>
    <t>BCK-SMCK</t>
  </si>
  <si>
    <t>SMCK</t>
  </si>
  <si>
    <t>SMCK-MPD</t>
  </si>
  <si>
    <t>MPD</t>
  </si>
  <si>
    <t>MPD-JPR</t>
  </si>
  <si>
    <t>JPR</t>
  </si>
  <si>
    <t>JPR-KGP</t>
  </si>
  <si>
    <t>KGP</t>
  </si>
  <si>
    <t>KGP-NPTY</t>
  </si>
  <si>
    <t>NPTY</t>
  </si>
  <si>
    <t>NPTY-KKQ</t>
  </si>
  <si>
    <t>KKQ</t>
  </si>
  <si>
    <t>KKQ-KSO</t>
  </si>
  <si>
    <t>KSO</t>
  </si>
  <si>
    <t>KSO-SUA</t>
  </si>
  <si>
    <t>SUA</t>
  </si>
  <si>
    <t>SUA-BNB</t>
  </si>
  <si>
    <t>BNB</t>
  </si>
  <si>
    <t>BNB-JGM</t>
  </si>
  <si>
    <t>JGM</t>
  </si>
  <si>
    <t>JGM-KATB</t>
  </si>
  <si>
    <t>KATB</t>
  </si>
  <si>
    <t>KATB-GII</t>
  </si>
  <si>
    <t>GII</t>
  </si>
  <si>
    <t>GII-KNM</t>
  </si>
  <si>
    <t>KNM</t>
  </si>
  <si>
    <t>KNM-CKU</t>
  </si>
  <si>
    <t>CKU</t>
  </si>
  <si>
    <t>CKU-KKPR</t>
  </si>
  <si>
    <t>KKPR</t>
  </si>
  <si>
    <t>KKPR-DVM</t>
  </si>
  <si>
    <t>DVM</t>
  </si>
  <si>
    <t>DVM-CHGA</t>
  </si>
  <si>
    <t>CHGA</t>
  </si>
  <si>
    <t>CHGA-GTS</t>
  </si>
  <si>
    <t>GTS</t>
  </si>
  <si>
    <t>GTS-GUD</t>
  </si>
  <si>
    <t>GUD</t>
  </si>
  <si>
    <t>GUD-RHE</t>
  </si>
  <si>
    <t>RHE</t>
  </si>
  <si>
    <t>RHE-ASB</t>
  </si>
  <si>
    <t>ASB</t>
  </si>
  <si>
    <t>ASB-GVDP</t>
  </si>
  <si>
    <t>GVDP</t>
  </si>
  <si>
    <t>GVDP-SLJR</t>
  </si>
  <si>
    <t>SLJR</t>
  </si>
  <si>
    <t>SLJR-TATA</t>
  </si>
  <si>
    <t>TATA</t>
  </si>
  <si>
    <t>TATA-ADTP</t>
  </si>
  <si>
    <t>ADTP</t>
  </si>
  <si>
    <t>ADTP-GMH</t>
  </si>
  <si>
    <t>GMH</t>
  </si>
  <si>
    <t>GMH-BRBS</t>
  </si>
  <si>
    <t>BRBS</t>
  </si>
  <si>
    <t>BRBS-SINI</t>
  </si>
  <si>
    <t>SINI</t>
  </si>
  <si>
    <t>SINI-MMV</t>
  </si>
  <si>
    <t>MMV</t>
  </si>
  <si>
    <t>MMV-RKSN</t>
  </si>
  <si>
    <t>RKSN</t>
  </si>
  <si>
    <t>RKSN-RKWO</t>
  </si>
  <si>
    <t>RKWO</t>
  </si>
  <si>
    <t>12021_1</t>
  </si>
  <si>
    <t>12022_0</t>
  </si>
  <si>
    <t>RKSN-MMV</t>
  </si>
  <si>
    <t>MMV-SINI</t>
  </si>
  <si>
    <t>SINI-BRBS</t>
  </si>
  <si>
    <t>BRBS-GMH</t>
  </si>
  <si>
    <t>GMH-ADTP</t>
  </si>
  <si>
    <t>ADTP-TATA</t>
  </si>
  <si>
    <t>TATA-SLJR</t>
  </si>
  <si>
    <t>SLJR-GVDP</t>
  </si>
  <si>
    <t>GVDP-ASB</t>
  </si>
  <si>
    <t>ASB-RHE</t>
  </si>
  <si>
    <t>RHE-GUD</t>
  </si>
  <si>
    <t>GUD-GTS</t>
  </si>
  <si>
    <t>GTS-CHGA</t>
  </si>
  <si>
    <t>CHGA-DVM</t>
  </si>
  <si>
    <t>DVM-KKPR</t>
  </si>
  <si>
    <t>KKPR-CKU</t>
  </si>
  <si>
    <t>CKU-KNM</t>
  </si>
  <si>
    <t>KNM-GII</t>
  </si>
  <si>
    <t>GII-KATB</t>
  </si>
  <si>
    <t>KATB-JGM</t>
  </si>
  <si>
    <t>JGM-BNB</t>
  </si>
  <si>
    <t>BNB-SUA</t>
  </si>
  <si>
    <t>SUA-KSO</t>
  </si>
  <si>
    <t>KSO-KKQ</t>
  </si>
  <si>
    <t>KKQ-NPTY</t>
  </si>
  <si>
    <t>NPTY-KGP</t>
  </si>
  <si>
    <t>KGP-JPR</t>
  </si>
  <si>
    <t>JPR-MPD</t>
  </si>
  <si>
    <t>MPD-SMCK</t>
  </si>
  <si>
    <t>SMCK-BCK</t>
  </si>
  <si>
    <t>BCK-DUAN</t>
  </si>
  <si>
    <t>DUAN-RDU</t>
  </si>
  <si>
    <t>RDU-HAUR</t>
  </si>
  <si>
    <t>HAUR-KHAI</t>
  </si>
  <si>
    <t>KHAI-PKU</t>
  </si>
  <si>
    <t>PKU-PKEO</t>
  </si>
  <si>
    <t>PKEO-NPMR</t>
  </si>
  <si>
    <t>NPMR-BOP</t>
  </si>
  <si>
    <t>BOP-NDGJ</t>
  </si>
  <si>
    <t>NDGJ-MCA</t>
  </si>
  <si>
    <t>MCA-QGT</t>
  </si>
  <si>
    <t>QGT-DTE</t>
  </si>
  <si>
    <t>DTE-GGTA</t>
  </si>
  <si>
    <t>GGTA-BZN</t>
  </si>
  <si>
    <t>BZN-KGY</t>
  </si>
  <si>
    <t>KGY-BSBP</t>
  </si>
  <si>
    <t>BSBP-ULB</t>
  </si>
  <si>
    <t>ULB-FLR</t>
  </si>
  <si>
    <t>FLR-CGA</t>
  </si>
  <si>
    <t>CGA-BVA</t>
  </si>
  <si>
    <t>BVA-NALR</t>
  </si>
  <si>
    <t>NALR-ABB</t>
  </si>
  <si>
    <t>ABB-SEL</t>
  </si>
  <si>
    <t>SEL-ADL</t>
  </si>
  <si>
    <t>ADL-MRGM</t>
  </si>
  <si>
    <t>MRGM-SRC</t>
  </si>
  <si>
    <t>SRC-RMJ</t>
  </si>
  <si>
    <t>RMJ-DSNR</t>
  </si>
  <si>
    <t>DSNR-TPKR</t>
  </si>
  <si>
    <t>TPKR-HWH</t>
  </si>
  <si>
    <t>12022_1</t>
  </si>
  <si>
    <t>12051_0</t>
  </si>
  <si>
    <t>CSMT</t>
  </si>
  <si>
    <t>CSMT-MSD</t>
  </si>
  <si>
    <t>MSD</t>
  </si>
  <si>
    <t>MSD-SNRD</t>
  </si>
  <si>
    <t>SNRD</t>
  </si>
  <si>
    <t>SNRD-BY</t>
  </si>
  <si>
    <t>BY</t>
  </si>
  <si>
    <t>BY-CHG</t>
  </si>
  <si>
    <t>CHG</t>
  </si>
  <si>
    <t>CHG-CRD</t>
  </si>
  <si>
    <t>CRD</t>
  </si>
  <si>
    <t>CRD-PR</t>
  </si>
  <si>
    <t>PR</t>
  </si>
  <si>
    <t>PR-DR</t>
  </si>
  <si>
    <t>DR</t>
  </si>
  <si>
    <t>DR-MTN</t>
  </si>
  <si>
    <t>MTN</t>
  </si>
  <si>
    <t>MTN-SION</t>
  </si>
  <si>
    <t>SION</t>
  </si>
  <si>
    <t>SION-CLA</t>
  </si>
  <si>
    <t>CLA</t>
  </si>
  <si>
    <t>CLA-VVH</t>
  </si>
  <si>
    <t>VVH</t>
  </si>
  <si>
    <t>VVH-GC</t>
  </si>
  <si>
    <t>GC</t>
  </si>
  <si>
    <t>GC-VK</t>
  </si>
  <si>
    <t>VK</t>
  </si>
  <si>
    <t>VK-KJRD</t>
  </si>
  <si>
    <t>KJRD</t>
  </si>
  <si>
    <t>KJRD-BND</t>
  </si>
  <si>
    <t>BND</t>
  </si>
  <si>
    <t>BND-NHU</t>
  </si>
  <si>
    <t>NHU</t>
  </si>
  <si>
    <t>NHU-MLND</t>
  </si>
  <si>
    <t>MLND</t>
  </si>
  <si>
    <t>MLND-TNA</t>
  </si>
  <si>
    <t>TNA</t>
  </si>
  <si>
    <t>TNA-DIVA</t>
  </si>
  <si>
    <t>DIVA</t>
  </si>
  <si>
    <t>12051_1</t>
  </si>
  <si>
    <t>12052_0</t>
  </si>
  <si>
    <t>DIVA-MBQ</t>
  </si>
  <si>
    <t>MBQ</t>
  </si>
  <si>
    <t>MBQ-KLVA</t>
  </si>
  <si>
    <t>KLVA</t>
  </si>
  <si>
    <t>KLVA-TNA</t>
  </si>
  <si>
    <t>TNA-MLND</t>
  </si>
  <si>
    <t>MLND-NHU</t>
  </si>
  <si>
    <t>NHU-BND</t>
  </si>
  <si>
    <t>BND-KJRD</t>
  </si>
  <si>
    <t>KJRD-VK</t>
  </si>
  <si>
    <t>VK-GC</t>
  </si>
  <si>
    <t>GC-VVH</t>
  </si>
  <si>
    <t>VVH-CLA</t>
  </si>
  <si>
    <t>CLA-SION</t>
  </si>
  <si>
    <t>SION-MTN</t>
  </si>
  <si>
    <t>MTN-DR</t>
  </si>
  <si>
    <t>DR-PR</t>
  </si>
  <si>
    <t>PR-CRD</t>
  </si>
  <si>
    <t>CRD-CHG</t>
  </si>
  <si>
    <t>CHG-BY</t>
  </si>
  <si>
    <t>BY-SNRD</t>
  </si>
  <si>
    <t>SNRD-MSD</t>
  </si>
  <si>
    <t>MSD-CSMT</t>
  </si>
  <si>
    <t>12052_1</t>
  </si>
  <si>
    <t>12069_0</t>
  </si>
  <si>
    <t>MDH</t>
  </si>
  <si>
    <t>MDH-URK</t>
  </si>
  <si>
    <t>URK</t>
  </si>
  <si>
    <t>URK-WRC</t>
  </si>
  <si>
    <t>WRC</t>
  </si>
  <si>
    <t>WRC-R</t>
  </si>
  <si>
    <t>R</t>
  </si>
  <si>
    <t>R-SRWN</t>
  </si>
  <si>
    <t>SRWN</t>
  </si>
  <si>
    <t>SRWN-SZB</t>
  </si>
  <si>
    <t>SZB</t>
  </si>
  <si>
    <t>SZB-KMI</t>
  </si>
  <si>
    <t>KMI</t>
  </si>
  <si>
    <t>KMI-CCAB</t>
  </si>
  <si>
    <t>CCAB</t>
  </si>
  <si>
    <t>CCAB-GCAB</t>
  </si>
  <si>
    <t>GCAB</t>
  </si>
  <si>
    <t>GCAB-BIA</t>
  </si>
  <si>
    <t>BIA</t>
  </si>
  <si>
    <t>BIA-BPHB</t>
  </si>
  <si>
    <t>BPHB</t>
  </si>
  <si>
    <t>BPHB-BQR</t>
  </si>
  <si>
    <t>BQR</t>
  </si>
  <si>
    <t>BQR-DLBC</t>
  </si>
  <si>
    <t>DLBC</t>
  </si>
  <si>
    <t>DLBC-DURG</t>
  </si>
  <si>
    <t>DURG</t>
  </si>
  <si>
    <t>DURG-RSM</t>
  </si>
  <si>
    <t>RSM</t>
  </si>
  <si>
    <t>RSM-MUP</t>
  </si>
  <si>
    <t>MUP</t>
  </si>
  <si>
    <t>MUP-PMS</t>
  </si>
  <si>
    <t>PMS</t>
  </si>
  <si>
    <t>PMS-RJN</t>
  </si>
  <si>
    <t>RJN</t>
  </si>
  <si>
    <t>RJN-BAKL</t>
  </si>
  <si>
    <t>BAKL</t>
  </si>
  <si>
    <t>BAKL-MUA</t>
  </si>
  <si>
    <t>MUA</t>
  </si>
  <si>
    <t>MUA-JTR</t>
  </si>
  <si>
    <t>JTR</t>
  </si>
  <si>
    <t>JTR-DGG</t>
  </si>
  <si>
    <t>DGG</t>
  </si>
  <si>
    <t>DGG-PJB</t>
  </si>
  <si>
    <t>PJB</t>
  </si>
  <si>
    <t>PJB-BTL</t>
  </si>
  <si>
    <t>BTL</t>
  </si>
  <si>
    <t>BTL-DKS</t>
  </si>
  <si>
    <t>DKS</t>
  </si>
  <si>
    <t>DKS-SKS</t>
  </si>
  <si>
    <t>SKS</t>
  </si>
  <si>
    <t>SKS-DNL</t>
  </si>
  <si>
    <t>DNL</t>
  </si>
  <si>
    <t>DNL-AGN</t>
  </si>
  <si>
    <t>AGN</t>
  </si>
  <si>
    <t>AGN-GDM</t>
  </si>
  <si>
    <t>GDM</t>
  </si>
  <si>
    <t>GDM-G</t>
  </si>
  <si>
    <t>G</t>
  </si>
  <si>
    <t>12069_1</t>
  </si>
  <si>
    <t>12070_0</t>
  </si>
  <si>
    <t>G-GDM</t>
  </si>
  <si>
    <t>GDM-AGN</t>
  </si>
  <si>
    <t>AGN-DNL</t>
  </si>
  <si>
    <t>DNL-SKS</t>
  </si>
  <si>
    <t>SKS-DKS</t>
  </si>
  <si>
    <t>DKS-BTL</t>
  </si>
  <si>
    <t>BTL-PJB</t>
  </si>
  <si>
    <t>PJB-DGG</t>
  </si>
  <si>
    <t>DGG-JTR</t>
  </si>
  <si>
    <t>JTR-MUA</t>
  </si>
  <si>
    <t>MUA-BAKL</t>
  </si>
  <si>
    <t>BAKL-RJN</t>
  </si>
  <si>
    <t>RJN-PMS</t>
  </si>
  <si>
    <t>PMS-MUP</t>
  </si>
  <si>
    <t>MUP-RSM</t>
  </si>
  <si>
    <t>RSM-DURG</t>
  </si>
  <si>
    <t>DURG-DLBC</t>
  </si>
  <si>
    <t>DLBC-BQR</t>
  </si>
  <si>
    <t>BQR-BPHB</t>
  </si>
  <si>
    <t>BPHB-BIA</t>
  </si>
  <si>
    <t>BIA-HCAB</t>
  </si>
  <si>
    <t>HCAB</t>
  </si>
  <si>
    <t>HCAB-DBEC</t>
  </si>
  <si>
    <t>DBEC</t>
  </si>
  <si>
    <t>DBEC-DCAB</t>
  </si>
  <si>
    <t>DCAB</t>
  </si>
  <si>
    <t>DCAB-CABN</t>
  </si>
  <si>
    <t>CABN</t>
  </si>
  <si>
    <t>CABN-KMI</t>
  </si>
  <si>
    <t>Distance</t>
  </si>
  <si>
    <t>BRM</t>
  </si>
  <si>
    <t>CKP</t>
  </si>
  <si>
    <t>LPH</t>
  </si>
  <si>
    <t>SWR</t>
  </si>
  <si>
    <t>TUX</t>
  </si>
  <si>
    <t>GOL</t>
  </si>
  <si>
    <t>MXW</t>
  </si>
  <si>
    <t>DRWN</t>
  </si>
  <si>
    <t>PST</t>
  </si>
  <si>
    <t>GHAA</t>
  </si>
  <si>
    <t>MOU</t>
  </si>
  <si>
    <t>JRA</t>
  </si>
  <si>
    <t>BUL</t>
  </si>
  <si>
    <t>BZR</t>
  </si>
  <si>
    <t>BNDE</t>
  </si>
  <si>
    <t>BNDM</t>
  </si>
  <si>
    <t>KCAB</t>
  </si>
  <si>
    <t>ROU</t>
  </si>
  <si>
    <t>PPO</t>
  </si>
  <si>
    <t>KLG</t>
  </si>
  <si>
    <t>KXN</t>
  </si>
  <si>
    <t>GP</t>
  </si>
  <si>
    <t>SXN</t>
  </si>
  <si>
    <t>SOGR</t>
  </si>
  <si>
    <t>GPH</t>
  </si>
  <si>
    <t>TGM</t>
  </si>
  <si>
    <t>BMB</t>
  </si>
  <si>
    <t>DIH</t>
  </si>
  <si>
    <t>BEH</t>
  </si>
  <si>
    <t>PNPL</t>
  </si>
  <si>
    <t>DTV</t>
  </si>
  <si>
    <t>JSRY</t>
  </si>
  <si>
    <t>JSG</t>
  </si>
  <si>
    <t>IB</t>
  </si>
  <si>
    <t>BRJN</t>
  </si>
  <si>
    <t>LKCB</t>
  </si>
  <si>
    <t>BPH</t>
  </si>
  <si>
    <t>IBH2</t>
  </si>
  <si>
    <t>HGR</t>
  </si>
  <si>
    <t>DAO</t>
  </si>
  <si>
    <t>IBH1</t>
  </si>
  <si>
    <t>JMG</t>
  </si>
  <si>
    <t>KRL</t>
  </si>
  <si>
    <t>RIG</t>
  </si>
  <si>
    <t>KDTR</t>
  </si>
  <si>
    <t>BEF</t>
  </si>
  <si>
    <t>SPBC</t>
  </si>
  <si>
    <t>ROB</t>
  </si>
  <si>
    <t>KHS</t>
  </si>
  <si>
    <t>JDI</t>
  </si>
  <si>
    <t>SKT</t>
  </si>
  <si>
    <t>JDDA</t>
  </si>
  <si>
    <t>IBH3</t>
  </si>
  <si>
    <t>BUA</t>
  </si>
  <si>
    <t>SGRD</t>
  </si>
  <si>
    <t>SRGD</t>
  </si>
  <si>
    <t>CPH</t>
  </si>
  <si>
    <t>NIA</t>
  </si>
  <si>
    <t>KPNA</t>
  </si>
  <si>
    <t>AKT</t>
  </si>
  <si>
    <t>LCA</t>
  </si>
  <si>
    <t>KTSH</t>
  </si>
  <si>
    <t>JRMG</t>
  </si>
  <si>
    <t>GTW</t>
  </si>
  <si>
    <t>BSP</t>
  </si>
  <si>
    <t>DPH</t>
  </si>
  <si>
    <t>CHBT</t>
  </si>
  <si>
    <t>BYL</t>
  </si>
  <si>
    <t>DGS</t>
  </si>
  <si>
    <t>IBHH</t>
  </si>
  <si>
    <t>NPI</t>
  </si>
  <si>
    <t>IBHG</t>
  </si>
  <si>
    <t>BYT</t>
  </si>
  <si>
    <t>IBHF</t>
  </si>
  <si>
    <t>HNEO</t>
  </si>
  <si>
    <t>HN</t>
  </si>
  <si>
    <t>IBHE</t>
  </si>
  <si>
    <t>TLD</t>
  </si>
  <si>
    <t>BKTH</t>
  </si>
  <si>
    <t>BKTW</t>
  </si>
  <si>
    <t>IBHD</t>
  </si>
  <si>
    <t>SLH</t>
  </si>
  <si>
    <t>IBHC</t>
  </si>
  <si>
    <t>GJ</t>
  </si>
  <si>
    <t>KWN</t>
  </si>
  <si>
    <t>TRO</t>
  </si>
  <si>
    <t>MNU</t>
  </si>
  <si>
    <t>TMR</t>
  </si>
  <si>
    <t>KOKA</t>
  </si>
  <si>
    <t>BRD</t>
  </si>
  <si>
    <t>KHAT</t>
  </si>
  <si>
    <t>RRL</t>
  </si>
  <si>
    <t>TAR</t>
  </si>
  <si>
    <t>CHCR</t>
  </si>
  <si>
    <t>SAL</t>
  </si>
  <si>
    <t>KNHN</t>
  </si>
  <si>
    <t>KP</t>
  </si>
  <si>
    <t>KAV</t>
  </si>
  <si>
    <t>NGP</t>
  </si>
  <si>
    <t>AJNI</t>
  </si>
  <si>
    <t>KRI</t>
  </si>
  <si>
    <t>GMG</t>
  </si>
  <si>
    <t>BTBR</t>
  </si>
  <si>
    <t>BOK</t>
  </si>
  <si>
    <t>SNI</t>
  </si>
  <si>
    <t>TGP</t>
  </si>
  <si>
    <t>SLOR</t>
  </si>
  <si>
    <t>VADR</t>
  </si>
  <si>
    <t>SEGM</t>
  </si>
  <si>
    <t>WR</t>
  </si>
  <si>
    <t>DAE</t>
  </si>
  <si>
    <t>KAOT</t>
  </si>
  <si>
    <t>PLO</t>
  </si>
  <si>
    <t>TLN</t>
  </si>
  <si>
    <t>DMN</t>
  </si>
  <si>
    <t>DIP</t>
  </si>
  <si>
    <t>CND</t>
  </si>
  <si>
    <t>MLR</t>
  </si>
  <si>
    <t>TMT</t>
  </si>
  <si>
    <t>BD</t>
  </si>
  <si>
    <t>TKI</t>
  </si>
  <si>
    <t>KUM</t>
  </si>
  <si>
    <t>MNDA</t>
  </si>
  <si>
    <t>MANA</t>
  </si>
  <si>
    <t>MZR</t>
  </si>
  <si>
    <t>KTP</t>
  </si>
  <si>
    <t>BGN</t>
  </si>
  <si>
    <t>YAD</t>
  </si>
  <si>
    <t>AK</t>
  </si>
  <si>
    <t>GAO</t>
  </si>
  <si>
    <t>PS</t>
  </si>
  <si>
    <t>NGZ</t>
  </si>
  <si>
    <t>SEG</t>
  </si>
  <si>
    <t>JM</t>
  </si>
  <si>
    <t>NN</t>
  </si>
  <si>
    <t>KJL</t>
  </si>
  <si>
    <t>BIS</t>
  </si>
  <si>
    <t>WADO</t>
  </si>
  <si>
    <t>MKU</t>
  </si>
  <si>
    <t>KMKD</t>
  </si>
  <si>
    <t>KLHD</t>
  </si>
  <si>
    <t>BDWD</t>
  </si>
  <si>
    <t>ACG</t>
  </si>
  <si>
    <t>VNA</t>
  </si>
  <si>
    <t>BSCN</t>
  </si>
  <si>
    <t>BSL</t>
  </si>
  <si>
    <t>BDI</t>
  </si>
  <si>
    <t>JL</t>
  </si>
  <si>
    <t>SS</t>
  </si>
  <si>
    <t>MWD</t>
  </si>
  <si>
    <t>MYJ</t>
  </si>
  <si>
    <t>PHQ</t>
  </si>
  <si>
    <t>PC</t>
  </si>
  <si>
    <t>GAA</t>
  </si>
  <si>
    <t>NGD</t>
  </si>
  <si>
    <t>KJ</t>
  </si>
  <si>
    <t>VGL</t>
  </si>
  <si>
    <t>CSN</t>
  </si>
  <si>
    <t>HPR</t>
  </si>
  <si>
    <t>NI</t>
  </si>
  <si>
    <t>PKE</t>
  </si>
  <si>
    <t>NGN</t>
  </si>
  <si>
    <t>PJN</t>
  </si>
  <si>
    <t>HSL</t>
  </si>
  <si>
    <t>PNV</t>
  </si>
  <si>
    <t>MMR</t>
  </si>
  <si>
    <t>SUM</t>
  </si>
  <si>
    <t>LS</t>
  </si>
  <si>
    <t>UGN</t>
  </si>
  <si>
    <t>NR</t>
  </si>
  <si>
    <t>KBSN</t>
  </si>
  <si>
    <t>KW</t>
  </si>
  <si>
    <t>ODHA</t>
  </si>
  <si>
    <t>NK</t>
  </si>
  <si>
    <t>DVL</t>
  </si>
  <si>
    <t>LT</t>
  </si>
  <si>
    <t>AV</t>
  </si>
  <si>
    <t>PI</t>
  </si>
  <si>
    <t>GO</t>
  </si>
  <si>
    <t>IGP</t>
  </si>
  <si>
    <t>X101</t>
  </si>
  <si>
    <t>X102</t>
  </si>
  <si>
    <t>X103</t>
  </si>
  <si>
    <t>KSRA</t>
  </si>
  <si>
    <t>OMB</t>
  </si>
  <si>
    <t>KE</t>
  </si>
  <si>
    <t>THS</t>
  </si>
  <si>
    <t>ATG</t>
  </si>
  <si>
    <t>ASO</t>
  </si>
  <si>
    <t>VSD</t>
  </si>
  <si>
    <t>KDV</t>
  </si>
  <si>
    <t>TLA</t>
  </si>
  <si>
    <t>ABY</t>
  </si>
  <si>
    <t>SHAD</t>
  </si>
  <si>
    <t>KYN</t>
  </si>
  <si>
    <t>THK</t>
  </si>
  <si>
    <t>DI</t>
  </si>
  <si>
    <t>KOPR</t>
  </si>
  <si>
    <t>QCAB</t>
  </si>
  <si>
    <t>PCAB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</si>
</sst>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www.wps.cn/officeDocument/2017/etCustomData">
  <sheetPr/>
  <dimension ref="A1:M21644"/>
  <sheetViews>
    <sheetView tabSelected="1" topLeftCell="B1" workbookViewId="0">
      <pane ySplit="1" topLeftCell="A2229" activePane="bottomLeft" state="frozen"/>
      <selection/>
      <selection pane="bottomLeft" activeCell="L21651" sqref="L21651"/>
    </sheetView>
  </sheetViews>
  <sheetFormatPr defaultColWidth="14.4259259259259" defaultRowHeight="15" customHeight="1"/>
  <cols>
    <col min="1" max="1" width="15.5740740740741" customWidth="1"/>
    <col min="2" max="2" width="9.28703703703704" customWidth="1"/>
    <col min="3" max="3" width="14.5740740740741" customWidth="1"/>
    <col min="4" max="5" width="19.5740740740741" customWidth="1"/>
    <col min="6" max="6" width="10.8611111111111" customWidth="1"/>
    <col min="7" max="7" width="15.8611111111111" customWidth="1"/>
    <col min="8" max="8" width="14.5740740740741" customWidth="1"/>
    <col min="9" max="9" width="19.5740740740741" customWidth="1"/>
    <col min="10" max="10" width="15" customWidth="1"/>
    <col min="11" max="11" width="13.4259259259259" customWidth="1"/>
    <col min="12" max="12" width="18.287037037037" customWidth="1"/>
    <col min="13" max="13" width="24" customWidth="1"/>
  </cols>
  <sheetData>
    <row r="1" ht="14.4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</row>
    <row r="2" ht="15.75" customHeight="1" spans="1:13">
      <c r="A2" s="5">
        <v>1781</v>
      </c>
      <c r="B2" s="5" t="s">
        <v>13</v>
      </c>
      <c r="C2" s="5" t="s">
        <v>14</v>
      </c>
      <c r="D2" s="5" t="s">
        <v>14</v>
      </c>
      <c r="E2" s="2">
        <f>IF(B1920=B1919,E1919+1,1)</f>
        <v>1</v>
      </c>
      <c r="F2" s="5" t="s">
        <v>15</v>
      </c>
      <c r="G2" s="5">
        <v>7</v>
      </c>
      <c r="H2" s="5" t="s">
        <v>16</v>
      </c>
      <c r="I2" s="5">
        <v>1</v>
      </c>
      <c r="J2" s="5">
        <v>22278</v>
      </c>
      <c r="K2" s="5">
        <v>22278</v>
      </c>
      <c r="L2" s="5">
        <f>IF(AND(H1920=C1921,B1920=B1921),J1921,"")</f>
        <v>22782</v>
      </c>
      <c r="M2" s="2">
        <f>VLOOKUP(F1920,Sheet2!$A$2:$B$500,2,FALSE)</f>
        <v>0</v>
      </c>
    </row>
    <row r="3" ht="15.75" customHeight="1" spans="1:13">
      <c r="A3" s="5">
        <v>1782</v>
      </c>
      <c r="B3" s="5" t="s">
        <v>13</v>
      </c>
      <c r="C3" s="5" t="s">
        <v>16</v>
      </c>
      <c r="D3" s="5">
        <v>1</v>
      </c>
      <c r="E3" s="2">
        <f>IF(B1921=B1920,E1920+1,1)</f>
        <v>2</v>
      </c>
      <c r="F3" s="5" t="s">
        <v>17</v>
      </c>
      <c r="G3" s="5">
        <v>2</v>
      </c>
      <c r="H3" s="5" t="s">
        <v>18</v>
      </c>
      <c r="I3" s="5">
        <v>2</v>
      </c>
      <c r="J3" s="5">
        <v>22782</v>
      </c>
      <c r="K3" s="5">
        <v>22782</v>
      </c>
      <c r="L3" s="5">
        <f>IF(AND(H1921=C1922,B1921=B1922),J1922,"")</f>
        <v>22948</v>
      </c>
      <c r="M3" s="2">
        <f>VLOOKUP(F1921,Sheet2!$A$2:$B$500,2,FALSE)</f>
        <v>2.7</v>
      </c>
    </row>
    <row r="4" ht="15.75" customHeight="1" spans="1:13">
      <c r="A4" s="5">
        <v>1783</v>
      </c>
      <c r="B4" s="5" t="s">
        <v>13</v>
      </c>
      <c r="C4" s="5" t="s">
        <v>18</v>
      </c>
      <c r="D4" s="5">
        <v>2</v>
      </c>
      <c r="E4" s="2">
        <f>IF(B1922=B1921,E1921+1,1)</f>
        <v>3</v>
      </c>
      <c r="F4" s="5" t="s">
        <v>19</v>
      </c>
      <c r="G4" s="5">
        <v>2</v>
      </c>
      <c r="H4" s="5" t="s">
        <v>20</v>
      </c>
      <c r="I4" s="5">
        <v>2</v>
      </c>
      <c r="J4" s="5">
        <v>22948</v>
      </c>
      <c r="K4" s="5">
        <v>22948</v>
      </c>
      <c r="L4" s="5">
        <f>IF(AND(H1922=C1923,B1922=B1923),J1923,"")</f>
        <v>23082</v>
      </c>
      <c r="M4" s="2">
        <f>VLOOKUP(F1922,Sheet2!$A$2:$B$500,2,FALSE)</f>
        <v>4.44</v>
      </c>
    </row>
    <row r="5" ht="15.75" customHeight="1" spans="1:13">
      <c r="A5" s="5">
        <v>1784</v>
      </c>
      <c r="B5" s="5" t="s">
        <v>13</v>
      </c>
      <c r="C5" s="5" t="s">
        <v>20</v>
      </c>
      <c r="D5" s="5">
        <v>2</v>
      </c>
      <c r="E5" s="2">
        <f>IF(B1923=B1922,E1922+1,1)</f>
        <v>4</v>
      </c>
      <c r="F5" s="5" t="s">
        <v>21</v>
      </c>
      <c r="G5" s="5">
        <v>2</v>
      </c>
      <c r="H5" s="5" t="s">
        <v>22</v>
      </c>
      <c r="I5" s="5">
        <v>2</v>
      </c>
      <c r="J5" s="5">
        <v>23082</v>
      </c>
      <c r="K5" s="5">
        <v>23082</v>
      </c>
      <c r="L5" s="5">
        <f>IF(AND(H1923=C1924,B1923=B1924),J1924,"")</f>
        <v>23244</v>
      </c>
      <c r="M5" s="2">
        <f>VLOOKUP(F1923,Sheet2!$A$2:$B$500,2,FALSE)</f>
        <v>6.08</v>
      </c>
    </row>
    <row r="6" ht="15.75" customHeight="1" spans="1:13">
      <c r="A6" s="5">
        <v>1785</v>
      </c>
      <c r="B6" s="5" t="s">
        <v>13</v>
      </c>
      <c r="C6" s="5" t="s">
        <v>22</v>
      </c>
      <c r="D6" s="5">
        <v>2</v>
      </c>
      <c r="E6" s="2">
        <f>IF(B1924=B1923,E1923+1,1)</f>
        <v>5</v>
      </c>
      <c r="F6" s="5" t="s">
        <v>23</v>
      </c>
      <c r="G6" s="5">
        <v>2</v>
      </c>
      <c r="H6" s="5" t="s">
        <v>24</v>
      </c>
      <c r="I6" s="5">
        <v>1</v>
      </c>
      <c r="J6" s="5">
        <v>23244</v>
      </c>
      <c r="K6" s="5">
        <v>23244</v>
      </c>
      <c r="L6" s="5">
        <f>IF(AND(H1924=C1925,B1924=B1925),J1925,"")</f>
        <v>23360</v>
      </c>
      <c r="M6" s="2">
        <f>VLOOKUP(F1924,Sheet2!$A$2:$B$500,2,FALSE)</f>
        <v>7.48</v>
      </c>
    </row>
    <row r="7" ht="15.75" customHeight="1" spans="1:13">
      <c r="A7" s="5">
        <v>1786</v>
      </c>
      <c r="B7" s="5" t="s">
        <v>13</v>
      </c>
      <c r="C7" s="5" t="s">
        <v>24</v>
      </c>
      <c r="D7" s="5">
        <v>1</v>
      </c>
      <c r="E7" s="2">
        <f>IF(B1925=B1924,E1924+1,1)</f>
        <v>6</v>
      </c>
      <c r="F7" s="5" t="s">
        <v>25</v>
      </c>
      <c r="G7" s="5">
        <v>1</v>
      </c>
      <c r="H7" s="5" t="s">
        <v>26</v>
      </c>
      <c r="I7" s="5">
        <v>1</v>
      </c>
      <c r="J7" s="5">
        <v>23360</v>
      </c>
      <c r="K7" s="5">
        <v>23360</v>
      </c>
      <c r="L7" s="5">
        <f>IF(AND(H1925=C1926,B1925=B1926),J1926,"")</f>
        <v>23438</v>
      </c>
      <c r="M7" s="2">
        <f>VLOOKUP(F1925,Sheet2!$A$2:$B$500,2,FALSE)</f>
        <v>10.3</v>
      </c>
    </row>
    <row r="8" ht="15.75" customHeight="1" spans="1:13">
      <c r="A8" s="5">
        <v>1787</v>
      </c>
      <c r="B8" s="5" t="s">
        <v>13</v>
      </c>
      <c r="C8" s="5" t="s">
        <v>26</v>
      </c>
      <c r="D8" s="5">
        <v>1</v>
      </c>
      <c r="E8" s="2">
        <f>IF(B1926=B1925,E1925+1,1)</f>
        <v>7</v>
      </c>
      <c r="F8" s="5" t="s">
        <v>27</v>
      </c>
      <c r="G8" s="5">
        <v>1</v>
      </c>
      <c r="H8" s="5" t="s">
        <v>28</v>
      </c>
      <c r="I8" s="5">
        <v>2</v>
      </c>
      <c r="J8" s="5">
        <v>23438</v>
      </c>
      <c r="K8" s="5">
        <v>23438</v>
      </c>
      <c r="L8" s="5">
        <f>IF(AND(H1926=C1927,B1926=B1927),J1927,"")</f>
        <v>23592</v>
      </c>
      <c r="M8" s="2">
        <f>VLOOKUP(F1926,Sheet2!$A$2:$B$500,2,FALSE)</f>
        <v>12.3</v>
      </c>
    </row>
    <row r="9" ht="15.75" customHeight="1" spans="1:13">
      <c r="A9" s="5">
        <v>1788</v>
      </c>
      <c r="B9" s="5" t="s">
        <v>13</v>
      </c>
      <c r="C9" s="5" t="s">
        <v>28</v>
      </c>
      <c r="D9" s="5">
        <v>2</v>
      </c>
      <c r="E9" s="2">
        <f>IF(B1927=B1926,E1926+1,1)</f>
        <v>8</v>
      </c>
      <c r="F9" s="5" t="s">
        <v>29</v>
      </c>
      <c r="G9" s="5">
        <v>2</v>
      </c>
      <c r="H9" s="5" t="s">
        <v>30</v>
      </c>
      <c r="I9" s="5">
        <v>1</v>
      </c>
      <c r="J9" s="5">
        <v>23592</v>
      </c>
      <c r="K9" s="5">
        <v>23592</v>
      </c>
      <c r="L9" s="5">
        <f>IF(AND(H1927=C1928,B1927=B1928),J1928,"")</f>
        <v>23664</v>
      </c>
      <c r="M9" s="2">
        <f>VLOOKUP(F1927,Sheet2!$A$2:$B$500,2,FALSE)</f>
        <v>15.9</v>
      </c>
    </row>
    <row r="10" ht="15.75" customHeight="1" spans="1:13">
      <c r="A10" s="5">
        <v>1789</v>
      </c>
      <c r="B10" s="5" t="s">
        <v>13</v>
      </c>
      <c r="C10" s="5" t="s">
        <v>30</v>
      </c>
      <c r="D10" s="5">
        <v>1</v>
      </c>
      <c r="E10" s="2">
        <f>IF(B1928=B1927,E1927+1,1)</f>
        <v>9</v>
      </c>
      <c r="F10" s="5" t="s">
        <v>31</v>
      </c>
      <c r="G10" s="5">
        <v>2</v>
      </c>
      <c r="H10" s="5" t="s">
        <v>32</v>
      </c>
      <c r="I10" s="5">
        <v>2</v>
      </c>
      <c r="J10" s="5">
        <v>23664</v>
      </c>
      <c r="K10" s="5">
        <v>23664</v>
      </c>
      <c r="L10" s="5">
        <f>IF(AND(H1928=C1929,B1928=B1929),J1929,"")</f>
        <v>23782</v>
      </c>
      <c r="M10" s="2">
        <f>VLOOKUP(F1928,Sheet2!$A$2:$B$500,2,FALSE)</f>
        <v>17.2</v>
      </c>
    </row>
    <row r="11" ht="15.75" customHeight="1" spans="1:13">
      <c r="A11" s="5">
        <v>1790</v>
      </c>
      <c r="B11" s="5" t="s">
        <v>13</v>
      </c>
      <c r="C11" s="5" t="s">
        <v>32</v>
      </c>
      <c r="D11" s="5">
        <v>2</v>
      </c>
      <c r="E11" s="2">
        <f>IF(B1929=B1928,E1928+1,1)</f>
        <v>10</v>
      </c>
      <c r="F11" s="5" t="s">
        <v>33</v>
      </c>
      <c r="G11" s="5">
        <v>2</v>
      </c>
      <c r="H11" s="5" t="s">
        <v>34</v>
      </c>
      <c r="I11" s="5">
        <v>2</v>
      </c>
      <c r="J11" s="5">
        <v>23782</v>
      </c>
      <c r="K11" s="5">
        <v>23782</v>
      </c>
      <c r="L11" s="5">
        <f>IF(AND(H1929=C1930,B1929=B1930),J1930,"")</f>
        <v>23938</v>
      </c>
      <c r="M11" s="2">
        <f>VLOOKUP(F1929,Sheet2!$A$2:$B$500,2,FALSE)</f>
        <v>20.2</v>
      </c>
    </row>
    <row r="12" ht="15.75" customHeight="1" spans="1:13">
      <c r="A12" s="5">
        <v>1791</v>
      </c>
      <c r="B12" s="5" t="s">
        <v>13</v>
      </c>
      <c r="C12" s="5" t="s">
        <v>34</v>
      </c>
      <c r="D12" s="5">
        <v>2</v>
      </c>
      <c r="E12" s="2">
        <f>IF(B1930=B1929,E1929+1,1)</f>
        <v>11</v>
      </c>
      <c r="F12" s="5" t="s">
        <v>35</v>
      </c>
      <c r="G12" s="5">
        <v>1</v>
      </c>
      <c r="H12" s="5" t="s">
        <v>36</v>
      </c>
      <c r="I12" s="5">
        <v>1</v>
      </c>
      <c r="J12" s="5">
        <v>23938</v>
      </c>
      <c r="K12" s="5">
        <v>23938</v>
      </c>
      <c r="L12" s="5">
        <f>IF(AND(H1930=C1931,B1930=B1931),J1931,"")</f>
        <v>24148</v>
      </c>
      <c r="M12" s="2">
        <f>VLOOKUP(F1930,Sheet2!$A$2:$B$500,2,FALSE)</f>
        <v>24.1</v>
      </c>
    </row>
    <row r="13" ht="15.75" customHeight="1" spans="1:13">
      <c r="A13" s="5">
        <v>1792</v>
      </c>
      <c r="B13" s="5" t="s">
        <v>13</v>
      </c>
      <c r="C13" s="5" t="s">
        <v>36</v>
      </c>
      <c r="D13" s="5">
        <v>1</v>
      </c>
      <c r="E13" s="2">
        <f>IF(B1931=B1930,E1930+1,1)</f>
        <v>12</v>
      </c>
      <c r="F13" s="5" t="s">
        <v>37</v>
      </c>
      <c r="G13" s="5">
        <v>1</v>
      </c>
      <c r="H13" s="5" t="s">
        <v>38</v>
      </c>
      <c r="I13" s="5">
        <v>1</v>
      </c>
      <c r="J13" s="5">
        <v>24148</v>
      </c>
      <c r="K13" s="5">
        <v>24148</v>
      </c>
      <c r="L13" s="5">
        <f>IF(AND(H1931=C1932,B1931=B1932),J1932,"")</f>
        <v>24232</v>
      </c>
      <c r="M13" s="2">
        <f>VLOOKUP(F1931,Sheet2!$A$2:$B$500,2,FALSE)</f>
        <v>27.24</v>
      </c>
    </row>
    <row r="14" ht="15.75" customHeight="1" spans="1:13">
      <c r="A14" s="5">
        <v>1793</v>
      </c>
      <c r="B14" s="5" t="s">
        <v>13</v>
      </c>
      <c r="C14" s="5" t="s">
        <v>38</v>
      </c>
      <c r="D14" s="5">
        <v>1</v>
      </c>
      <c r="E14" s="2">
        <f>IF(B1932=B1931,E1931+1,1)</f>
        <v>13</v>
      </c>
      <c r="F14" s="5" t="s">
        <v>39</v>
      </c>
      <c r="G14" s="5">
        <v>1</v>
      </c>
      <c r="H14" s="5" t="s">
        <v>40</v>
      </c>
      <c r="I14" s="5">
        <v>1</v>
      </c>
      <c r="J14" s="5">
        <v>24232</v>
      </c>
      <c r="K14" s="5">
        <v>24232</v>
      </c>
      <c r="L14" s="5">
        <f>IF(AND(H1932=C1933,B1932=B1933),J1933,"")</f>
        <v>24404</v>
      </c>
      <c r="M14" s="2">
        <f>VLOOKUP(F1932,Sheet2!$A$2:$B$500,2,FALSE)</f>
        <v>29.84</v>
      </c>
    </row>
    <row r="15" ht="15.75" customHeight="1" spans="1:13">
      <c r="A15" s="5">
        <v>1794</v>
      </c>
      <c r="B15" s="5" t="s">
        <v>13</v>
      </c>
      <c r="C15" s="5" t="s">
        <v>40</v>
      </c>
      <c r="D15" s="5">
        <v>1</v>
      </c>
      <c r="E15" s="2">
        <f>IF(B1933=B1932,E1932+1,1)</f>
        <v>14</v>
      </c>
      <c r="F15" s="5" t="s">
        <v>41</v>
      </c>
      <c r="G15" s="5">
        <v>1</v>
      </c>
      <c r="H15" s="5" t="s">
        <v>42</v>
      </c>
      <c r="I15" s="5">
        <v>1</v>
      </c>
      <c r="J15" s="5">
        <v>24404</v>
      </c>
      <c r="K15" s="5">
        <v>24404</v>
      </c>
      <c r="L15" s="5">
        <f>IF(AND(H1933=C1934,B1933=B1934),J1934,"")</f>
        <v>24592</v>
      </c>
      <c r="M15" s="2">
        <f>VLOOKUP(F1933,Sheet2!$A$2:$B$500,2,FALSE)</f>
        <v>32.24</v>
      </c>
    </row>
    <row r="16" ht="15.75" customHeight="1" spans="1:13">
      <c r="A16" s="5">
        <v>1795</v>
      </c>
      <c r="B16" s="5" t="s">
        <v>13</v>
      </c>
      <c r="C16" s="5" t="s">
        <v>42</v>
      </c>
      <c r="D16" s="5">
        <v>1</v>
      </c>
      <c r="E16" s="2">
        <f>IF(B1934=B1933,E1933+1,1)</f>
        <v>15</v>
      </c>
      <c r="F16" s="5" t="s">
        <v>43</v>
      </c>
      <c r="G16" s="5">
        <v>2</v>
      </c>
      <c r="H16" s="5" t="s">
        <v>44</v>
      </c>
      <c r="I16" s="5">
        <v>1</v>
      </c>
      <c r="J16" s="5">
        <v>24592</v>
      </c>
      <c r="K16" s="5">
        <v>24592</v>
      </c>
      <c r="L16" s="5">
        <f>IF(AND(H1934=C1935,B1934=B1935),J1935,"")</f>
        <v>24744</v>
      </c>
      <c r="M16" s="2">
        <f>VLOOKUP(F1934,Sheet2!$A$2:$B$500,2,FALSE)</f>
        <v>36.35</v>
      </c>
    </row>
    <row r="17" ht="15.75" customHeight="1" spans="1:13">
      <c r="A17" s="5">
        <v>1796</v>
      </c>
      <c r="B17" s="5" t="s">
        <v>13</v>
      </c>
      <c r="C17" s="5" t="s">
        <v>44</v>
      </c>
      <c r="D17" s="5">
        <v>1</v>
      </c>
      <c r="E17" s="2">
        <f>IF(B1935=B1934,E1934+1,1)</f>
        <v>16</v>
      </c>
      <c r="F17" s="5" t="s">
        <v>45</v>
      </c>
      <c r="G17" s="5">
        <v>1</v>
      </c>
      <c r="H17" s="5" t="s">
        <v>46</v>
      </c>
      <c r="I17" s="5">
        <v>1</v>
      </c>
      <c r="J17" s="5">
        <v>24744</v>
      </c>
      <c r="K17" s="5">
        <v>24744</v>
      </c>
      <c r="L17" s="5">
        <f>IF(AND(H1935=C1936,B1935=B1936),J1936,"")</f>
        <v>25006</v>
      </c>
      <c r="M17" s="2">
        <f>VLOOKUP(F1935,Sheet2!$A$2:$B$500,2,FALSE)</f>
        <v>39.85</v>
      </c>
    </row>
    <row r="18" ht="15.75" customHeight="1" spans="1:13">
      <c r="A18" s="5">
        <v>1797</v>
      </c>
      <c r="B18" s="5" t="s">
        <v>13</v>
      </c>
      <c r="C18" s="5" t="s">
        <v>46</v>
      </c>
      <c r="D18" s="5">
        <v>1</v>
      </c>
      <c r="E18" s="2">
        <f>IF(B1936=B1935,E1935+1,1)</f>
        <v>17</v>
      </c>
      <c r="F18" s="5" t="s">
        <v>47</v>
      </c>
      <c r="G18" s="5">
        <v>1</v>
      </c>
      <c r="H18" s="5" t="s">
        <v>48</v>
      </c>
      <c r="I18" s="5">
        <v>1</v>
      </c>
      <c r="J18" s="5">
        <v>25006</v>
      </c>
      <c r="K18" s="5">
        <v>25006</v>
      </c>
      <c r="L18" s="5">
        <f>IF(AND(H1936=C1937,B1936=B1937),J1937,"")</f>
        <v>25090</v>
      </c>
      <c r="M18" s="2">
        <f>VLOOKUP(F1936,Sheet2!$A$2:$B$500,2,FALSE)</f>
        <v>45.27</v>
      </c>
    </row>
    <row r="19" ht="15.75" customHeight="1" spans="1:13">
      <c r="A19" s="5">
        <v>1798</v>
      </c>
      <c r="B19" s="5" t="s">
        <v>13</v>
      </c>
      <c r="C19" s="5" t="s">
        <v>48</v>
      </c>
      <c r="D19" s="5">
        <v>1</v>
      </c>
      <c r="E19" s="2">
        <f>IF(B1937=B1936,E1936+1,1)</f>
        <v>18</v>
      </c>
      <c r="F19" s="5" t="s">
        <v>49</v>
      </c>
      <c r="G19" s="5">
        <v>1</v>
      </c>
      <c r="H19" s="5" t="s">
        <v>50</v>
      </c>
      <c r="I19" s="5">
        <v>1</v>
      </c>
      <c r="J19" s="5">
        <v>25090</v>
      </c>
      <c r="K19" s="5">
        <v>25090</v>
      </c>
      <c r="L19" s="5">
        <f>IF(AND(H1937=C1938,B1937=B1938),J1938,"")</f>
        <v>25300</v>
      </c>
      <c r="M19" s="2">
        <f>VLOOKUP(F1937,Sheet2!$A$2:$B$500,2,FALSE)</f>
        <v>47.94</v>
      </c>
    </row>
    <row r="20" ht="15.75" customHeight="1" spans="1:13">
      <c r="A20" s="5">
        <v>1799</v>
      </c>
      <c r="B20" s="5" t="s">
        <v>13</v>
      </c>
      <c r="C20" s="5" t="s">
        <v>50</v>
      </c>
      <c r="D20" s="5">
        <v>1</v>
      </c>
      <c r="E20" s="2">
        <f>IF(B1938=B1937,E1937+1,1)</f>
        <v>19</v>
      </c>
      <c r="F20" s="5" t="s">
        <v>51</v>
      </c>
      <c r="G20" s="5">
        <v>2</v>
      </c>
      <c r="H20" s="5" t="s">
        <v>52</v>
      </c>
      <c r="I20" s="5">
        <v>2</v>
      </c>
      <c r="J20" s="5">
        <v>25300</v>
      </c>
      <c r="K20" s="5">
        <v>25300</v>
      </c>
      <c r="L20" s="5">
        <f>IF(AND(H1938=C1939,B1938=B1939),J1939,"")</f>
        <v>25578</v>
      </c>
      <c r="M20" s="2">
        <f>VLOOKUP(F1938,Sheet2!$A$2:$B$500,2,FALSE)</f>
        <v>51.05</v>
      </c>
    </row>
    <row r="21" ht="15.75" customHeight="1" spans="1:13">
      <c r="A21" s="5">
        <v>1800</v>
      </c>
      <c r="B21" s="5" t="s">
        <v>13</v>
      </c>
      <c r="C21" s="5" t="s">
        <v>52</v>
      </c>
      <c r="D21" s="5">
        <v>2</v>
      </c>
      <c r="E21" s="2">
        <f>IF(B1939=B1938,E1938+1,1)</f>
        <v>20</v>
      </c>
      <c r="F21" s="5" t="s">
        <v>53</v>
      </c>
      <c r="G21" s="5">
        <v>2</v>
      </c>
      <c r="H21" s="5" t="s">
        <v>54</v>
      </c>
      <c r="I21" s="5">
        <v>2</v>
      </c>
      <c r="J21" s="5">
        <v>25578</v>
      </c>
      <c r="K21" s="5">
        <v>25578</v>
      </c>
      <c r="L21" s="5">
        <f>IF(AND(H1939=C1940,B1939=B1940),J1940,"")</f>
        <v>25790</v>
      </c>
      <c r="M21" s="2">
        <f>VLOOKUP(F1939,Sheet2!$A$2:$B$500,2,FALSE)</f>
        <v>55.05</v>
      </c>
    </row>
    <row r="22" ht="15.75" customHeight="1" spans="1:13">
      <c r="A22" s="5">
        <v>1801</v>
      </c>
      <c r="B22" s="5" t="s">
        <v>13</v>
      </c>
      <c r="C22" s="5" t="s">
        <v>54</v>
      </c>
      <c r="D22" s="5">
        <v>2</v>
      </c>
      <c r="E22" s="2">
        <f>IF(B1940=B1939,E1939+1,1)</f>
        <v>21</v>
      </c>
      <c r="F22" s="5" t="s">
        <v>55</v>
      </c>
      <c r="G22" s="5">
        <v>3</v>
      </c>
      <c r="H22" s="5" t="s">
        <v>56</v>
      </c>
      <c r="I22" s="5">
        <v>2</v>
      </c>
      <c r="J22" s="5">
        <v>25790</v>
      </c>
      <c r="K22" s="5">
        <v>25790</v>
      </c>
      <c r="L22" s="5">
        <f>IF(AND(H1940=C1941,B1940=B1941),J1941,"")</f>
        <v>25966</v>
      </c>
      <c r="M22" s="2">
        <f>VLOOKUP(F1940,Sheet2!$A$2:$B$500,2,FALSE)</f>
        <v>58.45</v>
      </c>
    </row>
    <row r="23" ht="15.75" customHeight="1" spans="1:13">
      <c r="A23" s="5">
        <v>1802</v>
      </c>
      <c r="B23" s="5" t="s">
        <v>13</v>
      </c>
      <c r="C23" s="5" t="s">
        <v>56</v>
      </c>
      <c r="D23" s="5">
        <v>2</v>
      </c>
      <c r="E23" s="2">
        <f>IF(B1941=B1940,E1940+1,1)</f>
        <v>22</v>
      </c>
      <c r="F23" s="5" t="s">
        <v>57</v>
      </c>
      <c r="G23" s="5">
        <v>2</v>
      </c>
      <c r="H23" s="5" t="s">
        <v>58</v>
      </c>
      <c r="I23" s="5">
        <v>2</v>
      </c>
      <c r="J23" s="5">
        <v>25966</v>
      </c>
      <c r="K23" s="5">
        <v>25966</v>
      </c>
      <c r="L23" s="5">
        <f>IF(AND(H1941=C1942,B1941=B1942),J1942,"")</f>
        <v>26050</v>
      </c>
      <c r="M23" s="2">
        <f>VLOOKUP(F1941,Sheet2!$A$2:$B$500,2,FALSE)</f>
        <v>61.25</v>
      </c>
    </row>
    <row r="24" ht="15.75" customHeight="1" spans="1:13">
      <c r="A24" s="5">
        <v>1803</v>
      </c>
      <c r="B24" s="5" t="s">
        <v>13</v>
      </c>
      <c r="C24" s="5" t="s">
        <v>58</v>
      </c>
      <c r="D24" s="5">
        <v>2</v>
      </c>
      <c r="E24" s="2">
        <f>IF(B1942=B1941,E1941+1,1)</f>
        <v>23</v>
      </c>
      <c r="F24" s="5" t="s">
        <v>59</v>
      </c>
      <c r="G24" s="5">
        <v>3</v>
      </c>
      <c r="H24" s="5" t="s">
        <v>60</v>
      </c>
      <c r="I24" s="5">
        <v>2</v>
      </c>
      <c r="J24" s="5">
        <v>26050</v>
      </c>
      <c r="K24" s="5">
        <v>26050</v>
      </c>
      <c r="L24" s="5">
        <f>IF(AND(H1942=C1943,B1942=B1943),J1943,"")</f>
        <v>26234</v>
      </c>
      <c r="M24" s="2">
        <f>VLOOKUP(F1942,Sheet2!$A$2:$B$500,2,FALSE)</f>
        <v>63.75</v>
      </c>
    </row>
    <row r="25" ht="15.75" customHeight="1" spans="1:13">
      <c r="A25" s="5">
        <v>1804</v>
      </c>
      <c r="B25" s="5" t="s">
        <v>13</v>
      </c>
      <c r="C25" s="5" t="s">
        <v>60</v>
      </c>
      <c r="D25" s="5">
        <v>2</v>
      </c>
      <c r="E25" s="2">
        <f>IF(B1943=B1942,E1942+1,1)</f>
        <v>24</v>
      </c>
      <c r="F25" s="5" t="s">
        <v>61</v>
      </c>
      <c r="G25" s="5">
        <v>2</v>
      </c>
      <c r="H25" s="5" t="s">
        <v>62</v>
      </c>
      <c r="I25" s="5">
        <v>2</v>
      </c>
      <c r="J25" s="5">
        <v>26234</v>
      </c>
      <c r="K25" s="5">
        <v>26234</v>
      </c>
      <c r="L25" s="5">
        <f>IF(AND(H1943=C1944,B1943=B1944),J1944,"")</f>
        <v>26274</v>
      </c>
      <c r="M25" s="2">
        <f>VLOOKUP(F1943,Sheet2!$A$2:$B$500,2,FALSE)</f>
        <v>67.39</v>
      </c>
    </row>
    <row r="26" ht="15.75" customHeight="1" spans="1:13">
      <c r="A26" s="5">
        <v>1805</v>
      </c>
      <c r="B26" s="5" t="s">
        <v>13</v>
      </c>
      <c r="C26" s="5" t="s">
        <v>62</v>
      </c>
      <c r="D26" s="5">
        <v>2</v>
      </c>
      <c r="E26" s="2">
        <f>IF(B1944=B1943,E1943+1,1)</f>
        <v>25</v>
      </c>
      <c r="F26" s="5" t="s">
        <v>63</v>
      </c>
      <c r="G26" s="5">
        <v>3</v>
      </c>
      <c r="H26" s="5" t="s">
        <v>64</v>
      </c>
      <c r="I26" s="5">
        <v>1</v>
      </c>
      <c r="J26" s="5">
        <v>26274</v>
      </c>
      <c r="K26" s="5">
        <v>26274</v>
      </c>
      <c r="L26" s="5">
        <f>IF(AND(H1944=C1945,B1944=B1945),J1945,"")</f>
        <v>26328</v>
      </c>
      <c r="M26" s="2">
        <f>VLOOKUP(F1944,Sheet2!$A$2:$B$500,2,FALSE)</f>
        <v>68.59</v>
      </c>
    </row>
    <row r="27" ht="15.75" customHeight="1" spans="1:13">
      <c r="A27" s="5">
        <v>1806</v>
      </c>
      <c r="B27" s="5" t="s">
        <v>13</v>
      </c>
      <c r="C27" s="5" t="s">
        <v>64</v>
      </c>
      <c r="D27" s="5">
        <v>1</v>
      </c>
      <c r="E27" s="2">
        <f>IF(B1945=B1944,E1944+1,1)</f>
        <v>26</v>
      </c>
      <c r="F27" s="5" t="s">
        <v>65</v>
      </c>
      <c r="G27" s="5">
        <v>1</v>
      </c>
      <c r="H27" s="5" t="s">
        <v>66</v>
      </c>
      <c r="I27" s="5">
        <v>1</v>
      </c>
      <c r="J27" s="5">
        <v>26328</v>
      </c>
      <c r="K27" s="5">
        <v>26328</v>
      </c>
      <c r="L27" s="5">
        <f>IF(AND(H1945=C1946,B1945=B1946),J1946,"")</f>
        <v>26658</v>
      </c>
      <c r="M27" s="2">
        <f>VLOOKUP(F1945,Sheet2!$A$2:$B$500,2,FALSE)</f>
        <v>71.26</v>
      </c>
    </row>
    <row r="28" ht="15.75" customHeight="1" spans="1:13">
      <c r="A28" s="5">
        <v>1807</v>
      </c>
      <c r="B28" s="5" t="s">
        <v>13</v>
      </c>
      <c r="C28" s="5" t="s">
        <v>66</v>
      </c>
      <c r="D28" s="5">
        <v>1</v>
      </c>
      <c r="E28" s="2">
        <f>IF(B1946=B1945,E1945+1,1)</f>
        <v>27</v>
      </c>
      <c r="F28" s="5" t="s">
        <v>67</v>
      </c>
      <c r="G28" s="5">
        <v>1</v>
      </c>
      <c r="H28" s="5" t="s">
        <v>68</v>
      </c>
      <c r="I28" s="5">
        <v>1</v>
      </c>
      <c r="J28" s="5">
        <v>26658</v>
      </c>
      <c r="K28" s="5">
        <v>26658</v>
      </c>
      <c r="L28" s="5">
        <f>IF(AND(H1946=C1947,B1946=B1947),J1947,"")</f>
        <v>26818</v>
      </c>
      <c r="M28" s="2">
        <f>VLOOKUP(F1946,Sheet2!$A$2:$B$500,2,FALSE)</f>
        <v>76.26</v>
      </c>
    </row>
    <row r="29" ht="15.75" customHeight="1" spans="1:13">
      <c r="A29" s="5">
        <v>1808</v>
      </c>
      <c r="B29" s="5" t="s">
        <v>13</v>
      </c>
      <c r="C29" s="5" t="s">
        <v>68</v>
      </c>
      <c r="D29" s="5">
        <v>1</v>
      </c>
      <c r="E29" s="2">
        <f>IF(B1947=B1946,E1946+1,1)</f>
        <v>28</v>
      </c>
      <c r="F29" s="5" t="s">
        <v>69</v>
      </c>
      <c r="G29" s="5">
        <v>2</v>
      </c>
      <c r="H29" s="5" t="s">
        <v>70</v>
      </c>
      <c r="I29" s="5">
        <v>1</v>
      </c>
      <c r="J29" s="5">
        <v>26818</v>
      </c>
      <c r="K29" s="5">
        <v>26818</v>
      </c>
      <c r="L29" s="5">
        <f>IF(AND(H1947=C1948,B1947=B1948),J1948,"")</f>
        <v>26976</v>
      </c>
      <c r="M29" s="2">
        <f>VLOOKUP(F1947,Sheet2!$A$2:$B$500,2,FALSE)</f>
        <v>80.62</v>
      </c>
    </row>
    <row r="30" ht="15.75" customHeight="1" spans="1:13">
      <c r="A30" s="5">
        <v>1809</v>
      </c>
      <c r="B30" s="5" t="s">
        <v>13</v>
      </c>
      <c r="C30" s="5" t="s">
        <v>70</v>
      </c>
      <c r="D30" s="5">
        <v>1</v>
      </c>
      <c r="E30" s="2">
        <f>IF(B1948=B1947,E1947+1,1)</f>
        <v>29</v>
      </c>
      <c r="F30" s="5" t="s">
        <v>71</v>
      </c>
      <c r="G30" s="5">
        <v>1</v>
      </c>
      <c r="H30" s="5" t="s">
        <v>72</v>
      </c>
      <c r="I30" s="5">
        <v>1</v>
      </c>
      <c r="J30" s="5">
        <v>26976</v>
      </c>
      <c r="K30" s="5">
        <v>26976</v>
      </c>
      <c r="L30" s="5">
        <f>IF(AND(H1948=C1949,B1948=B1949),J1949,"")</f>
        <v>27098</v>
      </c>
      <c r="M30" s="2">
        <f>VLOOKUP(F1948,Sheet2!$A$2:$B$500,2,FALSE)</f>
        <v>84.62</v>
      </c>
    </row>
    <row r="31" ht="15.75" customHeight="1" spans="1:13">
      <c r="A31" s="5">
        <v>1810</v>
      </c>
      <c r="B31" s="5" t="s">
        <v>13</v>
      </c>
      <c r="C31" s="5" t="s">
        <v>72</v>
      </c>
      <c r="D31" s="5">
        <v>1</v>
      </c>
      <c r="E31" s="2">
        <f>IF(B1949=B1948,E1948+1,1)</f>
        <v>30</v>
      </c>
      <c r="F31" s="5" t="s">
        <v>73</v>
      </c>
      <c r="G31" s="5">
        <v>1</v>
      </c>
      <c r="H31" s="5" t="s">
        <v>74</v>
      </c>
      <c r="I31" s="5">
        <v>1</v>
      </c>
      <c r="J31" s="5">
        <v>27098</v>
      </c>
      <c r="K31" s="5">
        <v>27098</v>
      </c>
      <c r="L31" s="5">
        <f>IF(AND(H1949=C1950,B1949=B1950),J1950,"")</f>
        <v>27218</v>
      </c>
      <c r="M31" s="2">
        <f>VLOOKUP(F1949,Sheet2!$A$2:$B$500,2,FALSE)</f>
        <v>87.97</v>
      </c>
    </row>
    <row r="32" ht="15.75" customHeight="1" spans="1:13">
      <c r="A32" s="5">
        <v>1811</v>
      </c>
      <c r="B32" s="5" t="s">
        <v>13</v>
      </c>
      <c r="C32" s="5" t="s">
        <v>74</v>
      </c>
      <c r="D32" s="5">
        <v>1</v>
      </c>
      <c r="E32" s="2">
        <f>IF(B1950=B1949,E1949+1,1)</f>
        <v>31</v>
      </c>
      <c r="F32" s="5" t="s">
        <v>75</v>
      </c>
      <c r="G32" s="5">
        <v>1</v>
      </c>
      <c r="H32" s="5" t="s">
        <v>76</v>
      </c>
      <c r="I32" s="5">
        <v>1</v>
      </c>
      <c r="J32" s="5">
        <v>27218</v>
      </c>
      <c r="K32" s="5">
        <v>27218</v>
      </c>
      <c r="L32" s="5">
        <f>IF(AND(H1950=C1951,B1950=B1951),J1951,"")</f>
        <v>27424</v>
      </c>
      <c r="M32" s="2">
        <f>VLOOKUP(F1950,Sheet2!$A$2:$B$500,2,FALSE)</f>
        <v>91.19</v>
      </c>
    </row>
    <row r="33" ht="15.75" customHeight="1" spans="1:13">
      <c r="A33" s="5">
        <v>1812</v>
      </c>
      <c r="B33" s="5" t="s">
        <v>13</v>
      </c>
      <c r="C33" s="5" t="s">
        <v>76</v>
      </c>
      <c r="D33" s="5">
        <v>1</v>
      </c>
      <c r="E33" s="2">
        <f>IF(B1951=B1950,E1950+1,1)</f>
        <v>32</v>
      </c>
      <c r="F33" s="5" t="s">
        <v>77</v>
      </c>
      <c r="G33" s="5">
        <v>1</v>
      </c>
      <c r="H33" s="5" t="s">
        <v>78</v>
      </c>
      <c r="I33" s="5">
        <v>1</v>
      </c>
      <c r="J33" s="5">
        <v>27424</v>
      </c>
      <c r="K33" s="5">
        <v>27424</v>
      </c>
      <c r="L33" s="5">
        <f>IF(AND(H1951=C1952,B1951=B1952),J1952,"")</f>
        <v>27694</v>
      </c>
      <c r="M33" s="2">
        <f>VLOOKUP(F1951,Sheet2!$A$2:$B$500,2,FALSE)</f>
        <v>97.09</v>
      </c>
    </row>
    <row r="34" ht="15.75" customHeight="1" spans="1:13">
      <c r="A34" s="5">
        <v>1813</v>
      </c>
      <c r="B34" s="5" t="s">
        <v>13</v>
      </c>
      <c r="C34" s="5" t="s">
        <v>78</v>
      </c>
      <c r="D34" s="5">
        <v>1</v>
      </c>
      <c r="E34" s="2">
        <f>IF(B1952=B1951,E1951+1,1)</f>
        <v>33</v>
      </c>
      <c r="F34" s="5" t="s">
        <v>79</v>
      </c>
      <c r="G34" s="5">
        <v>1</v>
      </c>
      <c r="H34" s="5" t="s">
        <v>80</v>
      </c>
      <c r="I34" s="5">
        <v>1</v>
      </c>
      <c r="J34" s="5">
        <v>27694</v>
      </c>
      <c r="K34" s="5">
        <v>27694</v>
      </c>
      <c r="L34" s="5">
        <f>IF(AND(H1952=C1953,B1952=B1953),J1953,"")</f>
        <v>27898</v>
      </c>
      <c r="M34" s="2">
        <f>VLOOKUP(F1952,Sheet2!$A$2:$B$500,2,FALSE)</f>
        <v>103.11</v>
      </c>
    </row>
    <row r="35" ht="15.75" customHeight="1" spans="1:13">
      <c r="A35" s="5">
        <v>1814</v>
      </c>
      <c r="B35" s="5" t="s">
        <v>13</v>
      </c>
      <c r="C35" s="5" t="s">
        <v>80</v>
      </c>
      <c r="D35" s="5">
        <v>1</v>
      </c>
      <c r="E35" s="2">
        <f>IF(B1953=B1952,E1952+1,1)</f>
        <v>34</v>
      </c>
      <c r="F35" s="5" t="s">
        <v>81</v>
      </c>
      <c r="G35" s="5">
        <v>1</v>
      </c>
      <c r="H35" s="5" t="s">
        <v>82</v>
      </c>
      <c r="I35" s="5">
        <v>1</v>
      </c>
      <c r="J35" s="5">
        <v>27898</v>
      </c>
      <c r="K35" s="5">
        <v>27898</v>
      </c>
      <c r="L35" s="5">
        <f>IF(AND(H1953=C1954,B1953=B1954),J1954,"")</f>
        <v>28266</v>
      </c>
      <c r="M35" s="2">
        <f>VLOOKUP(F1953,Sheet2!$A$2:$B$500,2,FALSE)</f>
        <v>108.81</v>
      </c>
    </row>
    <row r="36" ht="15.75" customHeight="1" spans="1:13">
      <c r="A36" s="5">
        <v>1815</v>
      </c>
      <c r="B36" s="5" t="s">
        <v>13</v>
      </c>
      <c r="C36" s="5" t="s">
        <v>82</v>
      </c>
      <c r="D36" s="5">
        <v>1</v>
      </c>
      <c r="E36" s="2">
        <f>IF(B1954=B1953,E1953+1,1)</f>
        <v>35</v>
      </c>
      <c r="F36" s="5" t="s">
        <v>83</v>
      </c>
      <c r="G36" s="5">
        <v>1</v>
      </c>
      <c r="H36" s="5" t="s">
        <v>84</v>
      </c>
      <c r="I36" s="5">
        <v>1</v>
      </c>
      <c r="J36" s="5">
        <v>28266</v>
      </c>
      <c r="K36" s="5">
        <v>28386</v>
      </c>
      <c r="L36" s="5">
        <f>IF(AND(H1954=C1955,B1954=B1955),J1955,"")</f>
        <v>28746</v>
      </c>
      <c r="M36" s="2">
        <f>VLOOKUP(F1954,Sheet2!$A$2:$B$500,2,FALSE)</f>
        <v>116.01</v>
      </c>
    </row>
    <row r="37" ht="15.75" customHeight="1" spans="1:13">
      <c r="A37" s="5">
        <v>1816</v>
      </c>
      <c r="B37" s="5" t="s">
        <v>13</v>
      </c>
      <c r="C37" s="5" t="s">
        <v>84</v>
      </c>
      <c r="D37" s="5">
        <v>1</v>
      </c>
      <c r="E37" s="2">
        <f>IF(B1955=B1954,E1954+1,1)</f>
        <v>36</v>
      </c>
      <c r="F37" s="5" t="s">
        <v>85</v>
      </c>
      <c r="G37" s="5">
        <v>3</v>
      </c>
      <c r="H37" s="5" t="s">
        <v>86</v>
      </c>
      <c r="I37" s="5">
        <v>1</v>
      </c>
      <c r="J37" s="5">
        <v>28746</v>
      </c>
      <c r="K37" s="5">
        <v>28746</v>
      </c>
      <c r="L37" s="5">
        <f>IF(AND(H1955=C1956,B1955=B1956),J1956,"")</f>
        <v>28854</v>
      </c>
      <c r="M37" s="2">
        <f>VLOOKUP(F1955,Sheet2!$A$2:$B$500,2,FALSE)</f>
        <v>122.31</v>
      </c>
    </row>
    <row r="38" ht="15.75" customHeight="1" spans="1:13">
      <c r="A38" s="5">
        <v>1817</v>
      </c>
      <c r="B38" s="5" t="s">
        <v>13</v>
      </c>
      <c r="C38" s="5" t="s">
        <v>86</v>
      </c>
      <c r="D38" s="5">
        <v>1</v>
      </c>
      <c r="E38" s="2">
        <f>IF(B1956=B1955,E1955+1,1)</f>
        <v>37</v>
      </c>
      <c r="F38" s="5" t="s">
        <v>87</v>
      </c>
      <c r="G38" s="5">
        <v>2</v>
      </c>
      <c r="H38" s="5" t="s">
        <v>88</v>
      </c>
      <c r="I38" s="5">
        <v>1</v>
      </c>
      <c r="J38" s="5">
        <v>28854</v>
      </c>
      <c r="K38" s="5">
        <v>28854</v>
      </c>
      <c r="L38" s="5">
        <f>IF(AND(H1956=C1957,B1956=B1957),J1957,"")</f>
        <v>29214</v>
      </c>
      <c r="M38" s="2">
        <f>VLOOKUP(F1956,Sheet2!$A$2:$B$500,2,FALSE)</f>
        <v>124.31</v>
      </c>
    </row>
    <row r="39" ht="15.75" customHeight="1" spans="1:13">
      <c r="A39" s="5">
        <v>1818</v>
      </c>
      <c r="B39" s="5" t="s">
        <v>13</v>
      </c>
      <c r="C39" s="5" t="s">
        <v>88</v>
      </c>
      <c r="D39" s="5">
        <v>1</v>
      </c>
      <c r="E39" s="2">
        <f>IF(B1957=B1956,E1956+1,1)</f>
        <v>38</v>
      </c>
      <c r="F39" s="5" t="s">
        <v>89</v>
      </c>
      <c r="G39" s="5">
        <v>1</v>
      </c>
      <c r="H39" s="5" t="s">
        <v>90</v>
      </c>
      <c r="I39" s="5">
        <v>1</v>
      </c>
      <c r="J39" s="5">
        <v>29214</v>
      </c>
      <c r="K39" s="5">
        <v>29214</v>
      </c>
      <c r="L39" s="5">
        <f>IF(AND(H1957=C1958,B1957=B1958),J1958,"")</f>
        <v>29498</v>
      </c>
      <c r="M39" s="2">
        <f>VLOOKUP(F1957,Sheet2!$A$2:$B$500,2,FALSE)</f>
        <v>130.91</v>
      </c>
    </row>
    <row r="40" ht="15.75" customHeight="1" spans="1:13">
      <c r="A40" s="5">
        <v>1819</v>
      </c>
      <c r="B40" s="5" t="s">
        <v>13</v>
      </c>
      <c r="C40" s="5" t="s">
        <v>90</v>
      </c>
      <c r="D40" s="5">
        <v>1</v>
      </c>
      <c r="E40" s="2">
        <f>IF(B1958=B1957,E1957+1,1)</f>
        <v>39</v>
      </c>
      <c r="F40" s="5" t="s">
        <v>91</v>
      </c>
      <c r="G40" s="5">
        <v>1</v>
      </c>
      <c r="H40" s="5" t="s">
        <v>92</v>
      </c>
      <c r="I40" s="5">
        <v>1</v>
      </c>
      <c r="J40" s="5">
        <v>29498</v>
      </c>
      <c r="K40" s="5">
        <v>29498</v>
      </c>
      <c r="L40" s="5">
        <f>IF(AND(H1958=C1959,B1958=B1959),J1959,"")</f>
        <v>29742</v>
      </c>
      <c r="M40" s="2">
        <f>VLOOKUP(F1958,Sheet2!$A$2:$B$500,2,FALSE)</f>
        <v>138.81</v>
      </c>
    </row>
    <row r="41" ht="15.75" customHeight="1" spans="1:13">
      <c r="A41" s="5">
        <v>1820</v>
      </c>
      <c r="B41" s="5" t="s">
        <v>13</v>
      </c>
      <c r="C41" s="5" t="s">
        <v>92</v>
      </c>
      <c r="D41" s="5">
        <v>1</v>
      </c>
      <c r="E41" s="2">
        <f>IF(B1959=B1958,E1958+1,1)</f>
        <v>40</v>
      </c>
      <c r="F41" s="5" t="s">
        <v>93</v>
      </c>
      <c r="G41" s="5">
        <v>1</v>
      </c>
      <c r="H41" s="5" t="s">
        <v>94</v>
      </c>
      <c r="I41" s="5">
        <v>1</v>
      </c>
      <c r="J41" s="5">
        <v>29742</v>
      </c>
      <c r="K41" s="5">
        <v>29742</v>
      </c>
      <c r="L41" s="5">
        <f>IF(AND(H1959=C1960,B1959=B1960),J1960,"")</f>
        <v>30102</v>
      </c>
      <c r="M41" s="2">
        <f>VLOOKUP(F1959,Sheet2!$A$2:$B$500,2,FALSE)</f>
        <v>145.57</v>
      </c>
    </row>
    <row r="42" ht="15.75" customHeight="1" spans="1:13">
      <c r="A42" s="5">
        <v>1821</v>
      </c>
      <c r="B42" s="5" t="s">
        <v>13</v>
      </c>
      <c r="C42" s="5" t="s">
        <v>94</v>
      </c>
      <c r="D42" s="5">
        <v>1</v>
      </c>
      <c r="E42" s="2">
        <f>IF(B1960=B1959,E1959+1,1)</f>
        <v>41</v>
      </c>
      <c r="F42" s="5" t="s">
        <v>95</v>
      </c>
      <c r="G42" s="5">
        <v>2</v>
      </c>
      <c r="H42" s="5" t="s">
        <v>96</v>
      </c>
      <c r="I42" s="5">
        <v>1</v>
      </c>
      <c r="J42" s="5">
        <v>30102</v>
      </c>
      <c r="K42" s="5">
        <v>30222</v>
      </c>
      <c r="L42" s="5">
        <f>IF(AND(H1960=C1961,B1960=B1961),J1961,"")</f>
        <v>30500</v>
      </c>
      <c r="M42" s="2">
        <f>VLOOKUP(F1960,Sheet2!$A$2:$B$500,2,FALSE)</f>
        <v>154.14</v>
      </c>
    </row>
    <row r="43" ht="15.75" customHeight="1" spans="1:13">
      <c r="A43" s="5">
        <v>1822</v>
      </c>
      <c r="B43" s="5" t="s">
        <v>13</v>
      </c>
      <c r="C43" s="5" t="s">
        <v>96</v>
      </c>
      <c r="D43" s="5">
        <v>1</v>
      </c>
      <c r="E43" s="2">
        <f>IF(B1961=B1960,E1960+1,1)</f>
        <v>42</v>
      </c>
      <c r="F43" s="5" t="s">
        <v>97</v>
      </c>
      <c r="G43" s="5">
        <v>1</v>
      </c>
      <c r="H43" s="5" t="s">
        <v>98</v>
      </c>
      <c r="I43" s="5">
        <v>1</v>
      </c>
      <c r="J43" s="5">
        <v>30500</v>
      </c>
      <c r="K43" s="5">
        <v>30500</v>
      </c>
      <c r="L43" s="5">
        <f>IF(AND(H1961=C1962,B1961=B1962),J1962,"")</f>
        <v>30818</v>
      </c>
      <c r="M43" s="2">
        <f>VLOOKUP(F1961,Sheet2!$A$2:$B$500,2,FALSE)</f>
        <v>161.42</v>
      </c>
    </row>
    <row r="44" ht="15.75" customHeight="1" spans="1:13">
      <c r="A44" s="5">
        <v>1823</v>
      </c>
      <c r="B44" s="5" t="s">
        <v>13</v>
      </c>
      <c r="C44" s="5" t="s">
        <v>98</v>
      </c>
      <c r="D44" s="5">
        <v>1</v>
      </c>
      <c r="E44" s="2">
        <f>IF(B1962=B1961,E1961+1,1)</f>
        <v>43</v>
      </c>
      <c r="F44" s="5" t="s">
        <v>99</v>
      </c>
      <c r="G44" s="5">
        <v>2</v>
      </c>
      <c r="H44" s="5" t="s">
        <v>100</v>
      </c>
      <c r="I44" s="5">
        <v>1</v>
      </c>
      <c r="J44" s="5">
        <v>30818</v>
      </c>
      <c r="K44" s="5">
        <v>30818</v>
      </c>
      <c r="L44" s="5">
        <f>IF(AND(H1962=C1963,B1962=B1963),J1963,"")</f>
        <v>31148</v>
      </c>
      <c r="M44" s="2">
        <f>VLOOKUP(F1962,Sheet2!$A$2:$B$500,2,FALSE)</f>
        <v>169.73</v>
      </c>
    </row>
    <row r="45" ht="15.75" customHeight="1" spans="1:13">
      <c r="A45" s="5">
        <v>1824</v>
      </c>
      <c r="B45" s="5" t="s">
        <v>13</v>
      </c>
      <c r="C45" s="5" t="s">
        <v>100</v>
      </c>
      <c r="D45" s="5">
        <v>1</v>
      </c>
      <c r="E45" s="2">
        <f>IF(B1963=B1962,E1962+1,1)</f>
        <v>44</v>
      </c>
      <c r="F45" s="5" t="s">
        <v>101</v>
      </c>
      <c r="G45" s="5">
        <v>1</v>
      </c>
      <c r="H45" s="5" t="s">
        <v>102</v>
      </c>
      <c r="I45" s="5">
        <v>1</v>
      </c>
      <c r="J45" s="5">
        <v>31148</v>
      </c>
      <c r="K45" s="5">
        <v>31148</v>
      </c>
      <c r="L45" s="5">
        <f>IF(AND(H1963=C1964,B1963=B1964),J1964,"")</f>
        <v>31384</v>
      </c>
      <c r="M45" s="2">
        <f>VLOOKUP(F1963,Sheet2!$A$2:$B$500,2,FALSE)</f>
        <v>177.34</v>
      </c>
    </row>
    <row r="46" ht="15.75" customHeight="1" spans="1:13">
      <c r="A46" s="5">
        <v>1825</v>
      </c>
      <c r="B46" s="5" t="s">
        <v>13</v>
      </c>
      <c r="C46" s="5" t="s">
        <v>102</v>
      </c>
      <c r="D46" s="5">
        <v>1</v>
      </c>
      <c r="E46" s="2">
        <f>IF(B1964=B1963,E1963+1,1)</f>
        <v>45</v>
      </c>
      <c r="F46" s="5" t="s">
        <v>103</v>
      </c>
      <c r="G46" s="5">
        <v>2</v>
      </c>
      <c r="H46" s="5" t="s">
        <v>104</v>
      </c>
      <c r="I46" s="5">
        <v>1</v>
      </c>
      <c r="J46" s="5">
        <v>31384</v>
      </c>
      <c r="K46" s="5">
        <v>31384</v>
      </c>
      <c r="L46" s="5">
        <f>IF(AND(H1964=C1965,B1964=B1965),J1965,"")</f>
        <v>31710</v>
      </c>
      <c r="M46" s="2">
        <f>VLOOKUP(F1964,Sheet2!$A$2:$B$500,2,FALSE)</f>
        <v>183.35</v>
      </c>
    </row>
    <row r="47" ht="15.75" customHeight="1" spans="1:13">
      <c r="A47" s="5">
        <v>1826</v>
      </c>
      <c r="B47" s="5" t="s">
        <v>13</v>
      </c>
      <c r="C47" s="5" t="s">
        <v>104</v>
      </c>
      <c r="D47" s="5">
        <v>1</v>
      </c>
      <c r="E47" s="2">
        <f>IF(B1965=B1964,E1964+1,1)</f>
        <v>46</v>
      </c>
      <c r="F47" s="5" t="s">
        <v>105</v>
      </c>
      <c r="G47" s="5">
        <v>1</v>
      </c>
      <c r="H47" s="5" t="s">
        <v>106</v>
      </c>
      <c r="I47" s="5">
        <v>1</v>
      </c>
      <c r="J47" s="5">
        <v>31710</v>
      </c>
      <c r="K47" s="5">
        <v>31710</v>
      </c>
      <c r="L47" s="5">
        <f>IF(AND(H1965=C1966,B1965=B1966),J1966,"")</f>
        <v>32100</v>
      </c>
      <c r="M47" s="2">
        <f>VLOOKUP(F1965,Sheet2!$A$2:$B$500,2,FALSE)</f>
        <v>192.45</v>
      </c>
    </row>
    <row r="48" ht="15.75" customHeight="1" spans="1:13">
      <c r="A48" s="5">
        <v>1827</v>
      </c>
      <c r="B48" s="5" t="s">
        <v>13</v>
      </c>
      <c r="C48" s="5" t="s">
        <v>106</v>
      </c>
      <c r="D48" s="5">
        <v>1</v>
      </c>
      <c r="E48" s="2">
        <f>IF(B1966=B1965,E1965+1,1)</f>
        <v>47</v>
      </c>
      <c r="F48" s="5" t="s">
        <v>107</v>
      </c>
      <c r="G48" s="5">
        <v>1</v>
      </c>
      <c r="H48" s="5" t="s">
        <v>108</v>
      </c>
      <c r="I48" s="5">
        <v>1</v>
      </c>
      <c r="J48" s="5">
        <v>32100</v>
      </c>
      <c r="K48" s="5">
        <v>32100</v>
      </c>
      <c r="L48" s="5">
        <f>IF(AND(H1966=C1967,B1966=B1967),J1967,"")</f>
        <v>32334</v>
      </c>
      <c r="M48" s="2">
        <f>VLOOKUP(F1966,Sheet2!$A$2:$B$500,2,FALSE)</f>
        <v>201.81</v>
      </c>
    </row>
    <row r="49" ht="15.75" customHeight="1" spans="1:13">
      <c r="A49" s="5">
        <v>1828</v>
      </c>
      <c r="B49" s="5" t="s">
        <v>13</v>
      </c>
      <c r="C49" s="5" t="s">
        <v>108</v>
      </c>
      <c r="D49" s="5">
        <v>1</v>
      </c>
      <c r="E49" s="2">
        <f>IF(B1967=B1966,E1966+1,1)</f>
        <v>48</v>
      </c>
      <c r="F49" s="5" t="s">
        <v>109</v>
      </c>
      <c r="G49" s="5">
        <v>1</v>
      </c>
      <c r="H49" s="5" t="s">
        <v>110</v>
      </c>
      <c r="I49" s="5">
        <v>1</v>
      </c>
      <c r="J49" s="5">
        <v>32334</v>
      </c>
      <c r="K49" s="5">
        <v>32334</v>
      </c>
      <c r="L49" s="5">
        <f>IF(AND(H1967=C1968,B1967=B1968),J1968,"")</f>
        <v>32574</v>
      </c>
      <c r="M49" s="2">
        <f>VLOOKUP(F1967,Sheet2!$A$2:$B$500,2,FALSE)</f>
        <v>207.45</v>
      </c>
    </row>
    <row r="50" ht="15.75" customHeight="1" spans="1:13">
      <c r="A50" s="5">
        <v>1829</v>
      </c>
      <c r="B50" s="5" t="s">
        <v>13</v>
      </c>
      <c r="C50" s="5" t="s">
        <v>110</v>
      </c>
      <c r="D50" s="5">
        <v>1</v>
      </c>
      <c r="E50" s="2">
        <f>IF(B1968=B1967,E1967+1,1)</f>
        <v>49</v>
      </c>
      <c r="F50" s="5" t="s">
        <v>111</v>
      </c>
      <c r="G50" s="5">
        <v>2</v>
      </c>
      <c r="H50" s="5" t="s">
        <v>112</v>
      </c>
      <c r="I50" s="5">
        <v>1</v>
      </c>
      <c r="J50" s="5">
        <v>32574</v>
      </c>
      <c r="K50" s="5">
        <v>32694</v>
      </c>
      <c r="L50" s="5">
        <f>IF(AND(H1968=C1969,B1968=B1969),J1969,"")</f>
        <v>33058</v>
      </c>
      <c r="M50" s="2">
        <f>VLOOKUP(F1968,Sheet2!$A$2:$B$500,2,FALSE)</f>
        <v>213.87</v>
      </c>
    </row>
    <row r="51" ht="15.75" customHeight="1" spans="1:13">
      <c r="A51" s="5">
        <v>1830</v>
      </c>
      <c r="B51" s="5" t="s">
        <v>13</v>
      </c>
      <c r="C51" s="5" t="s">
        <v>112</v>
      </c>
      <c r="D51" s="5">
        <v>1</v>
      </c>
      <c r="E51" s="2">
        <f>IF(B1969=B1968,E1968+1,1)</f>
        <v>50</v>
      </c>
      <c r="F51" s="5" t="s">
        <v>113</v>
      </c>
      <c r="G51" s="5">
        <v>2</v>
      </c>
      <c r="H51" s="5" t="s">
        <v>114</v>
      </c>
      <c r="I51" s="5">
        <v>1</v>
      </c>
      <c r="J51" s="5">
        <v>33058</v>
      </c>
      <c r="K51" s="5">
        <v>33058</v>
      </c>
      <c r="L51" s="5">
        <f>IF(AND(H1969=C1970,B1969=B1970),J1970,"")</f>
        <v>33358</v>
      </c>
      <c r="M51" s="2">
        <f>VLOOKUP(F1969,Sheet2!$A$2:$B$500,2,FALSE)</f>
        <v>223.82</v>
      </c>
    </row>
    <row r="52" ht="15.75" customHeight="1" spans="1:13">
      <c r="A52" s="5">
        <v>1831</v>
      </c>
      <c r="B52" s="5" t="s">
        <v>13</v>
      </c>
      <c r="C52" s="5" t="s">
        <v>114</v>
      </c>
      <c r="D52" s="5">
        <v>1</v>
      </c>
      <c r="E52" s="2">
        <f>IF(B1970=B1969,E1969+1,1)</f>
        <v>51</v>
      </c>
      <c r="F52" s="5" t="s">
        <v>115</v>
      </c>
      <c r="G52" s="5">
        <v>2</v>
      </c>
      <c r="H52" s="5" t="s">
        <v>116</v>
      </c>
      <c r="I52" s="5">
        <v>1</v>
      </c>
      <c r="J52" s="5">
        <v>33358</v>
      </c>
      <c r="K52" s="5">
        <v>33358</v>
      </c>
      <c r="L52" s="5">
        <f>IF(AND(H1970=C1971,B1970=B1971),J1971,"")</f>
        <v>33614</v>
      </c>
      <c r="M52" s="2">
        <f>VLOOKUP(F1970,Sheet2!$A$2:$B$500,2,FALSE)</f>
        <v>230.82</v>
      </c>
    </row>
    <row r="53" ht="15.75" customHeight="1" spans="1:13">
      <c r="A53" s="5">
        <v>1832</v>
      </c>
      <c r="B53" s="5" t="s">
        <v>13</v>
      </c>
      <c r="C53" s="5" t="s">
        <v>116</v>
      </c>
      <c r="D53" s="5">
        <v>1</v>
      </c>
      <c r="E53" s="2">
        <f>IF(B1971=B1970,E1970+1,1)</f>
        <v>52</v>
      </c>
      <c r="F53" s="5" t="s">
        <v>117</v>
      </c>
      <c r="G53" s="5">
        <v>5</v>
      </c>
      <c r="H53" s="5" t="s">
        <v>118</v>
      </c>
      <c r="I53" s="5">
        <v>3</v>
      </c>
      <c r="J53" s="5">
        <v>33614</v>
      </c>
      <c r="K53" s="5">
        <v>33614</v>
      </c>
      <c r="L53" s="5">
        <f>IF(AND(H1971=C1972,B1971=B1972),J1972,"")</f>
        <v>33894</v>
      </c>
      <c r="M53" s="2">
        <f>VLOOKUP(F1971,Sheet2!$A$2:$B$500,2,FALSE)</f>
        <v>235.72</v>
      </c>
    </row>
    <row r="54" ht="15.75" customHeight="1" spans="1:13">
      <c r="A54" s="5">
        <v>1833</v>
      </c>
      <c r="B54" s="5" t="s">
        <v>13</v>
      </c>
      <c r="C54" s="5" t="s">
        <v>118</v>
      </c>
      <c r="D54" s="5">
        <v>3</v>
      </c>
      <c r="E54" s="2">
        <f>IF(B1972=B1971,E1971+1,1)</f>
        <v>53</v>
      </c>
      <c r="F54" s="5" t="s">
        <v>119</v>
      </c>
      <c r="G54" s="5">
        <v>3</v>
      </c>
      <c r="H54" s="5" t="s">
        <v>120</v>
      </c>
      <c r="I54" s="5">
        <v>3</v>
      </c>
      <c r="J54" s="5">
        <v>33894</v>
      </c>
      <c r="K54" s="5">
        <v>33894</v>
      </c>
      <c r="L54" s="5">
        <f>IF(AND(H1972=C1973,B1972=B1973),J1973,"")</f>
        <v>34022</v>
      </c>
      <c r="M54" s="2">
        <f>VLOOKUP(F1972,Sheet2!$A$2:$B$500,2,FALSE)</f>
        <v>243.13</v>
      </c>
    </row>
    <row r="55" ht="15.75" customHeight="1" spans="1:13">
      <c r="A55" s="5">
        <v>1834</v>
      </c>
      <c r="B55" s="5" t="s">
        <v>13</v>
      </c>
      <c r="C55" s="5" t="s">
        <v>120</v>
      </c>
      <c r="D55" s="5">
        <v>3</v>
      </c>
      <c r="E55" s="2">
        <f>IF(B1973=B1972,E1972+1,1)</f>
        <v>54</v>
      </c>
      <c r="F55" s="5" t="s">
        <v>121</v>
      </c>
      <c r="G55" s="5">
        <v>3</v>
      </c>
      <c r="H55" s="5" t="s">
        <v>122</v>
      </c>
      <c r="I55" s="5">
        <v>3</v>
      </c>
      <c r="J55" s="5">
        <v>34022</v>
      </c>
      <c r="K55" s="5">
        <v>34022</v>
      </c>
      <c r="L55" s="5">
        <f>IF(AND(H1973=C1974,B1973=B1974),J1974,"")</f>
        <v>34352</v>
      </c>
      <c r="M55" s="2">
        <f>VLOOKUP(F1973,Sheet2!$A$2:$B$500,2,FALSE)</f>
        <v>247.11</v>
      </c>
    </row>
    <row r="56" ht="15.75" customHeight="1" spans="1:13">
      <c r="A56" s="5">
        <v>1835</v>
      </c>
      <c r="B56" s="5" t="s">
        <v>13</v>
      </c>
      <c r="C56" s="5" t="s">
        <v>122</v>
      </c>
      <c r="D56" s="5">
        <v>3</v>
      </c>
      <c r="E56" s="2">
        <f>IF(B1974=B1973,E1973+1,1)</f>
        <v>55</v>
      </c>
      <c r="F56" s="5" t="s">
        <v>123</v>
      </c>
      <c r="G56" s="5">
        <v>11</v>
      </c>
      <c r="H56" s="5" t="s">
        <v>124</v>
      </c>
      <c r="I56" s="5">
        <v>2</v>
      </c>
      <c r="J56" s="5">
        <v>34352</v>
      </c>
      <c r="K56" s="5">
        <v>34832</v>
      </c>
      <c r="L56" s="5">
        <f>IF(AND(H1974=C1975,B1974=B1975),J1975,"")</f>
        <v>35114</v>
      </c>
      <c r="M56" s="2">
        <f>VLOOKUP(F1974,Sheet2!$A$2:$B$500,2,FALSE)</f>
        <v>250.21</v>
      </c>
    </row>
    <row r="57" ht="15.75" customHeight="1" spans="1:13">
      <c r="A57" s="5">
        <v>1836</v>
      </c>
      <c r="B57" s="5" t="s">
        <v>13</v>
      </c>
      <c r="C57" s="5" t="s">
        <v>124</v>
      </c>
      <c r="D57" s="5">
        <v>2</v>
      </c>
      <c r="E57" s="2">
        <f>IF(B1975=B1974,E1974+1,1)</f>
        <v>56</v>
      </c>
      <c r="F57" s="5" t="s">
        <v>125</v>
      </c>
      <c r="G57" s="5">
        <v>1</v>
      </c>
      <c r="H57" s="5" t="s">
        <v>126</v>
      </c>
      <c r="I57" s="5">
        <v>2</v>
      </c>
      <c r="J57" s="5">
        <v>35114</v>
      </c>
      <c r="K57" s="5">
        <v>35114</v>
      </c>
      <c r="L57" s="5">
        <f>IF(AND(H1975=C1976,B1975=B1976),J1976,"")</f>
        <v>35382</v>
      </c>
      <c r="M57" s="2">
        <f>VLOOKUP(F1975,Sheet2!$A$2:$B$500,2,FALSE)</f>
        <v>254.61</v>
      </c>
    </row>
    <row r="58" ht="15.75" customHeight="1" spans="1:13">
      <c r="A58" s="5">
        <v>1837</v>
      </c>
      <c r="B58" s="5" t="s">
        <v>13</v>
      </c>
      <c r="C58" s="5" t="s">
        <v>126</v>
      </c>
      <c r="D58" s="5">
        <v>2</v>
      </c>
      <c r="E58" s="2">
        <f>IF(B1976=B1975,E1975+1,1)</f>
        <v>57</v>
      </c>
      <c r="F58" s="5" t="s">
        <v>127</v>
      </c>
      <c r="G58" s="5">
        <v>6</v>
      </c>
      <c r="H58" s="5" t="s">
        <v>128</v>
      </c>
      <c r="I58" s="5">
        <v>3</v>
      </c>
      <c r="J58" s="5">
        <v>35382</v>
      </c>
      <c r="K58" s="5">
        <v>35382</v>
      </c>
      <c r="L58" s="5">
        <f>IF(AND(H1976=C1977,B1976=B1977),J1977,"")</f>
        <v>35708</v>
      </c>
      <c r="M58" s="2">
        <f>VLOOKUP(F1976,Sheet2!$A$2:$B$500,2,FALSE)</f>
        <v>260.81</v>
      </c>
    </row>
    <row r="59" ht="15.75" customHeight="1" spans="1:13">
      <c r="A59" s="5">
        <v>1838</v>
      </c>
      <c r="B59" s="5" t="s">
        <v>13</v>
      </c>
      <c r="C59" s="5" t="s">
        <v>128</v>
      </c>
      <c r="D59" s="5">
        <v>3</v>
      </c>
      <c r="E59" s="2">
        <f>IF(B1977=B1976,E1976+1,1)</f>
        <v>58</v>
      </c>
      <c r="F59" s="5" t="s">
        <v>129</v>
      </c>
      <c r="G59" s="5">
        <v>3</v>
      </c>
      <c r="H59" s="5" t="s">
        <v>130</v>
      </c>
      <c r="I59" s="5">
        <v>3</v>
      </c>
      <c r="J59" s="5">
        <v>35708</v>
      </c>
      <c r="K59" s="5">
        <v>35708</v>
      </c>
      <c r="L59" s="5">
        <f>IF(AND(H1977=C1978,B1977=B1978),J1978,"")</f>
        <v>36038</v>
      </c>
      <c r="M59" s="2">
        <f>VLOOKUP(F1977,Sheet2!$A$2:$B$500,2,FALSE)</f>
        <v>269.89</v>
      </c>
    </row>
    <row r="60" ht="15.75" customHeight="1" spans="1:13">
      <c r="A60" s="5">
        <v>1839</v>
      </c>
      <c r="B60" s="5" t="s">
        <v>13</v>
      </c>
      <c r="C60" s="5" t="s">
        <v>130</v>
      </c>
      <c r="D60" s="5">
        <v>3</v>
      </c>
      <c r="E60" s="2">
        <f>IF(B1978=B1977,E1977+1,1)</f>
        <v>59</v>
      </c>
      <c r="F60" s="5" t="s">
        <v>131</v>
      </c>
      <c r="G60" s="5">
        <v>4</v>
      </c>
      <c r="H60" s="5" t="s">
        <v>132</v>
      </c>
      <c r="I60" s="5">
        <v>2</v>
      </c>
      <c r="J60" s="5">
        <v>36038</v>
      </c>
      <c r="K60" s="5">
        <v>36098</v>
      </c>
      <c r="L60" s="5">
        <f>IF(AND(H1978=C1979,B1978=B1979),J1979,"")</f>
        <v>36382</v>
      </c>
      <c r="M60" s="2">
        <f>VLOOKUP(F1978,Sheet2!$A$2:$B$500,2,FALSE)</f>
        <v>277.05</v>
      </c>
    </row>
    <row r="61" ht="15.75" customHeight="1" spans="1:13">
      <c r="A61" s="5">
        <v>1840</v>
      </c>
      <c r="B61" s="5" t="s">
        <v>13</v>
      </c>
      <c r="C61" s="5" t="s">
        <v>132</v>
      </c>
      <c r="D61" s="5">
        <v>2</v>
      </c>
      <c r="E61" s="2">
        <f>IF(B1979=B1978,E1978+1,1)</f>
        <v>60</v>
      </c>
      <c r="F61" s="5" t="s">
        <v>133</v>
      </c>
      <c r="G61" s="5">
        <v>1</v>
      </c>
      <c r="H61" s="5" t="s">
        <v>134</v>
      </c>
      <c r="I61" s="5">
        <v>2</v>
      </c>
      <c r="J61" s="5">
        <v>36382</v>
      </c>
      <c r="K61" s="5">
        <v>36382</v>
      </c>
      <c r="L61" s="5">
        <f>IF(AND(H1979=C1980,B1979=B1980),J1980,"")</f>
        <v>36662</v>
      </c>
      <c r="M61" s="2">
        <f>VLOOKUP(F1979,Sheet2!$A$2:$B$500,2,FALSE)</f>
        <v>284.85</v>
      </c>
    </row>
    <row r="62" ht="15.75" customHeight="1" spans="1:13">
      <c r="A62" s="5">
        <v>1841</v>
      </c>
      <c r="B62" s="5" t="s">
        <v>13</v>
      </c>
      <c r="C62" s="5" t="s">
        <v>134</v>
      </c>
      <c r="D62" s="5">
        <v>2</v>
      </c>
      <c r="E62" s="2">
        <f>IF(B1980=B1979,E1979+1,1)</f>
        <v>61</v>
      </c>
      <c r="F62" s="5" t="s">
        <v>135</v>
      </c>
      <c r="G62" s="5">
        <v>8</v>
      </c>
      <c r="H62" s="5" t="s">
        <v>136</v>
      </c>
      <c r="I62" s="5">
        <v>2</v>
      </c>
      <c r="J62" s="5">
        <v>36662</v>
      </c>
      <c r="K62" s="5">
        <v>36662</v>
      </c>
      <c r="L62" s="5">
        <f>IF(AND(H1980=C1981,B1980=B1981),J1981,"")</f>
        <v>36800</v>
      </c>
      <c r="M62" s="2">
        <f>VLOOKUP(F1980,Sheet2!$A$2:$B$500,2,FALSE)</f>
        <v>292.25</v>
      </c>
    </row>
    <row r="63" ht="15.75" customHeight="1" spans="1:13">
      <c r="A63" s="5">
        <v>1842</v>
      </c>
      <c r="B63" s="5" t="s">
        <v>13</v>
      </c>
      <c r="C63" s="5" t="s">
        <v>136</v>
      </c>
      <c r="D63" s="5">
        <v>2</v>
      </c>
      <c r="E63" s="2">
        <f>IF(B1981=B1980,E1980+1,1)</f>
        <v>62</v>
      </c>
      <c r="F63" s="5" t="s">
        <v>137</v>
      </c>
      <c r="G63" s="5">
        <v>2</v>
      </c>
      <c r="H63" s="5"/>
      <c r="I63" s="5"/>
      <c r="J63" s="5">
        <v>36800</v>
      </c>
      <c r="K63" s="5">
        <v>36800</v>
      </c>
      <c r="L63" s="5" t="str">
        <f>IF(AND(H1981=C1982,B1981=B1982),J1982,"")</f>
        <v/>
      </c>
      <c r="M63" s="2">
        <f>VLOOKUP(F1981,Sheet2!$A$2:$B$500,2,FALSE)</f>
        <v>294.17</v>
      </c>
    </row>
    <row r="64" ht="15.75" customHeight="1" spans="1:13">
      <c r="A64" s="5">
        <v>5737</v>
      </c>
      <c r="B64" s="5" t="s">
        <v>138</v>
      </c>
      <c r="C64" s="5" t="s">
        <v>14</v>
      </c>
      <c r="D64" s="5" t="s">
        <v>14</v>
      </c>
      <c r="E64" s="2">
        <f>IF(B1982=B1981,E1981+1,1)</f>
        <v>1</v>
      </c>
      <c r="F64" s="5" t="s">
        <v>15</v>
      </c>
      <c r="G64" s="5">
        <v>7</v>
      </c>
      <c r="H64" s="5" t="s">
        <v>16</v>
      </c>
      <c r="I64" s="5">
        <v>2</v>
      </c>
      <c r="J64" s="5">
        <v>108678</v>
      </c>
      <c r="K64" s="5">
        <v>108678</v>
      </c>
      <c r="L64" s="5">
        <f>IF(AND(H1982=C1983,B1982=B1983),J1983,"")</f>
        <v>109182</v>
      </c>
      <c r="M64" s="2">
        <f>VLOOKUP(F1982,Sheet2!$A$2:$B$500,2,FALSE)</f>
        <v>0</v>
      </c>
    </row>
    <row r="65" ht="15.75" customHeight="1" spans="1:13">
      <c r="A65" s="5">
        <v>5738</v>
      </c>
      <c r="B65" s="5" t="s">
        <v>138</v>
      </c>
      <c r="C65" s="5" t="s">
        <v>16</v>
      </c>
      <c r="D65" s="5">
        <v>2</v>
      </c>
      <c r="E65" s="2">
        <f>IF(B1983=B1982,E1982+1,1)</f>
        <v>2</v>
      </c>
      <c r="F65" s="5" t="s">
        <v>17</v>
      </c>
      <c r="G65" s="5">
        <v>3</v>
      </c>
      <c r="H65" s="5" t="s">
        <v>18</v>
      </c>
      <c r="I65" s="5">
        <v>3</v>
      </c>
      <c r="J65" s="5">
        <v>109182</v>
      </c>
      <c r="K65" s="5">
        <v>109182</v>
      </c>
      <c r="L65" s="5">
        <f>IF(AND(H1983=C1984,B1983=B1984),J1984,"")</f>
        <v>109348</v>
      </c>
      <c r="M65" s="2">
        <f>VLOOKUP(F1983,Sheet2!$A$2:$B$500,2,FALSE)</f>
        <v>2.7</v>
      </c>
    </row>
    <row r="66" ht="15.75" customHeight="1" spans="1:13">
      <c r="A66" s="5">
        <v>5739</v>
      </c>
      <c r="B66" s="5" t="s">
        <v>138</v>
      </c>
      <c r="C66" s="5" t="s">
        <v>18</v>
      </c>
      <c r="D66" s="5">
        <v>3</v>
      </c>
      <c r="E66" s="2">
        <f>IF(B1984=B1983,E1983+1,1)</f>
        <v>3</v>
      </c>
      <c r="F66" s="5" t="s">
        <v>19</v>
      </c>
      <c r="G66" s="5">
        <v>3</v>
      </c>
      <c r="H66" s="5" t="s">
        <v>20</v>
      </c>
      <c r="I66" s="5">
        <v>3</v>
      </c>
      <c r="J66" s="5">
        <v>109348</v>
      </c>
      <c r="K66" s="5">
        <v>109348</v>
      </c>
      <c r="L66" s="5">
        <f>IF(AND(H1984=C1985,B1984=B1985),J1985,"")</f>
        <v>109482</v>
      </c>
      <c r="M66" s="2">
        <f>VLOOKUP(F1984,Sheet2!$A$2:$B$500,2,FALSE)</f>
        <v>4.44</v>
      </c>
    </row>
    <row r="67" ht="15.75" customHeight="1" spans="1:13">
      <c r="A67" s="5">
        <v>5740</v>
      </c>
      <c r="B67" s="5" t="s">
        <v>138</v>
      </c>
      <c r="C67" s="5" t="s">
        <v>20</v>
      </c>
      <c r="D67" s="5">
        <v>3</v>
      </c>
      <c r="E67" s="2">
        <f>IF(B1985=B1984,E1984+1,1)</f>
        <v>4</v>
      </c>
      <c r="F67" s="5" t="s">
        <v>21</v>
      </c>
      <c r="G67" s="5">
        <v>3</v>
      </c>
      <c r="H67" s="5" t="s">
        <v>22</v>
      </c>
      <c r="I67" s="5">
        <v>3</v>
      </c>
      <c r="J67" s="5">
        <v>109482</v>
      </c>
      <c r="K67" s="5">
        <v>109482</v>
      </c>
      <c r="L67" s="5">
        <f>IF(AND(H1985=C1986,B1985=B1986),J1986,"")</f>
        <v>109644</v>
      </c>
      <c r="M67" s="2">
        <f>VLOOKUP(F1985,Sheet2!$A$2:$B$500,2,FALSE)</f>
        <v>6.08</v>
      </c>
    </row>
    <row r="68" ht="15.75" customHeight="1" spans="1:13">
      <c r="A68" s="5">
        <v>5741</v>
      </c>
      <c r="B68" s="5" t="s">
        <v>138</v>
      </c>
      <c r="C68" s="5" t="s">
        <v>22</v>
      </c>
      <c r="D68" s="5">
        <v>3</v>
      </c>
      <c r="E68" s="2">
        <f>IF(B1986=B1985,E1985+1,1)</f>
        <v>5</v>
      </c>
      <c r="F68" s="5" t="s">
        <v>23</v>
      </c>
      <c r="G68" s="5">
        <v>4</v>
      </c>
      <c r="H68" s="5" t="s">
        <v>24</v>
      </c>
      <c r="I68" s="5">
        <v>1</v>
      </c>
      <c r="J68" s="5">
        <v>109644</v>
      </c>
      <c r="K68" s="5">
        <v>109644</v>
      </c>
      <c r="L68" s="5">
        <f>IF(AND(H1986=C1987,B1986=B1987),J1987,"")</f>
        <v>109760</v>
      </c>
      <c r="M68" s="2">
        <f>VLOOKUP(F1986,Sheet2!$A$2:$B$500,2,FALSE)</f>
        <v>7.48</v>
      </c>
    </row>
    <row r="69" ht="15.75" customHeight="1" spans="1:13">
      <c r="A69" s="5">
        <v>5742</v>
      </c>
      <c r="B69" s="5" t="s">
        <v>138</v>
      </c>
      <c r="C69" s="5" t="s">
        <v>24</v>
      </c>
      <c r="D69" s="5">
        <v>1</v>
      </c>
      <c r="E69" s="2">
        <f>IF(B1987=B1986,E1986+1,1)</f>
        <v>6</v>
      </c>
      <c r="F69" s="5" t="s">
        <v>25</v>
      </c>
      <c r="G69" s="5">
        <v>1</v>
      </c>
      <c r="H69" s="5" t="s">
        <v>26</v>
      </c>
      <c r="I69" s="5">
        <v>1</v>
      </c>
      <c r="J69" s="5">
        <v>109760</v>
      </c>
      <c r="K69" s="5">
        <v>109760</v>
      </c>
      <c r="L69" s="5">
        <f>IF(AND(H1987=C1988,B1987=B1988),J1988,"")</f>
        <v>109838</v>
      </c>
      <c r="M69" s="2">
        <f>VLOOKUP(F1987,Sheet2!$A$2:$B$500,2,FALSE)</f>
        <v>10.3</v>
      </c>
    </row>
    <row r="70" ht="15.75" customHeight="1" spans="1:13">
      <c r="A70" s="5">
        <v>5743</v>
      </c>
      <c r="B70" s="5" t="s">
        <v>138</v>
      </c>
      <c r="C70" s="5" t="s">
        <v>26</v>
      </c>
      <c r="D70" s="5">
        <v>1</v>
      </c>
      <c r="E70" s="2">
        <f>IF(B1988=B1987,E1987+1,1)</f>
        <v>7</v>
      </c>
      <c r="F70" s="5" t="s">
        <v>27</v>
      </c>
      <c r="G70" s="5">
        <v>1</v>
      </c>
      <c r="H70" s="5" t="s">
        <v>28</v>
      </c>
      <c r="I70" s="5">
        <v>2</v>
      </c>
      <c r="J70" s="5">
        <v>109838</v>
      </c>
      <c r="K70" s="5">
        <v>109838</v>
      </c>
      <c r="L70" s="5">
        <f>IF(AND(H1988=C1989,B1988=B1989),J1989,"")</f>
        <v>109992</v>
      </c>
      <c r="M70" s="2">
        <f>VLOOKUP(F1988,Sheet2!$A$2:$B$500,2,FALSE)</f>
        <v>12.3</v>
      </c>
    </row>
    <row r="71" ht="15.75" customHeight="1" spans="1:13">
      <c r="A71" s="5">
        <v>5744</v>
      </c>
      <c r="B71" s="5" t="s">
        <v>138</v>
      </c>
      <c r="C71" s="5" t="s">
        <v>28</v>
      </c>
      <c r="D71" s="5">
        <v>2</v>
      </c>
      <c r="E71" s="2">
        <f>IF(B1989=B1988,E1988+1,1)</f>
        <v>8</v>
      </c>
      <c r="F71" s="5" t="s">
        <v>29</v>
      </c>
      <c r="G71" s="5">
        <v>2</v>
      </c>
      <c r="H71" s="5" t="s">
        <v>30</v>
      </c>
      <c r="I71" s="5">
        <v>2</v>
      </c>
      <c r="J71" s="5">
        <v>109992</v>
      </c>
      <c r="K71" s="5">
        <v>109992</v>
      </c>
      <c r="L71" s="5">
        <f>IF(AND(H1989=C1990,B1989=B1990),J1990,"")</f>
        <v>110064</v>
      </c>
      <c r="M71" s="2">
        <f>VLOOKUP(F1989,Sheet2!$A$2:$B$500,2,FALSE)</f>
        <v>15.9</v>
      </c>
    </row>
    <row r="72" ht="15.75" customHeight="1" spans="1:13">
      <c r="A72" s="5">
        <v>5745</v>
      </c>
      <c r="B72" s="5" t="s">
        <v>138</v>
      </c>
      <c r="C72" s="5" t="s">
        <v>30</v>
      </c>
      <c r="D72" s="5">
        <v>2</v>
      </c>
      <c r="E72" s="2">
        <f>IF(B1990=B1989,E1989+1,1)</f>
        <v>9</v>
      </c>
      <c r="F72" s="5" t="s">
        <v>31</v>
      </c>
      <c r="G72" s="5">
        <v>2</v>
      </c>
      <c r="H72" s="5" t="s">
        <v>32</v>
      </c>
      <c r="I72" s="5">
        <v>2</v>
      </c>
      <c r="J72" s="5">
        <v>110064</v>
      </c>
      <c r="K72" s="5">
        <v>110064</v>
      </c>
      <c r="L72" s="5">
        <f>IF(AND(H1990=C1991,B1990=B1991),J1991,"")</f>
        <v>110182</v>
      </c>
      <c r="M72" s="2">
        <f>VLOOKUP(F1990,Sheet2!$A$2:$B$500,2,FALSE)</f>
        <v>17.2</v>
      </c>
    </row>
    <row r="73" ht="15.75" customHeight="1" spans="1:13">
      <c r="A73" s="5">
        <v>5746</v>
      </c>
      <c r="B73" s="5" t="s">
        <v>138</v>
      </c>
      <c r="C73" s="5" t="s">
        <v>32</v>
      </c>
      <c r="D73" s="5">
        <v>2</v>
      </c>
      <c r="E73" s="2">
        <f>IF(B1991=B1990,E1990+1,1)</f>
        <v>10</v>
      </c>
      <c r="F73" s="5" t="s">
        <v>33</v>
      </c>
      <c r="G73" s="5">
        <v>2</v>
      </c>
      <c r="H73" s="5" t="s">
        <v>34</v>
      </c>
      <c r="I73" s="5">
        <v>2</v>
      </c>
      <c r="J73" s="5">
        <v>110182</v>
      </c>
      <c r="K73" s="5">
        <v>110182</v>
      </c>
      <c r="L73" s="5">
        <f>IF(AND(H1991=C1992,B1991=B1992),J1992,"")</f>
        <v>110338</v>
      </c>
      <c r="M73" s="2">
        <f>VLOOKUP(F1991,Sheet2!$A$2:$B$500,2,FALSE)</f>
        <v>20.2</v>
      </c>
    </row>
    <row r="74" ht="15.75" customHeight="1" spans="1:13">
      <c r="A74" s="5">
        <v>5747</v>
      </c>
      <c r="B74" s="5" t="s">
        <v>138</v>
      </c>
      <c r="C74" s="5" t="s">
        <v>34</v>
      </c>
      <c r="D74" s="5">
        <v>2</v>
      </c>
      <c r="E74" s="2">
        <f>IF(B1992=B1991,E1991+1,1)</f>
        <v>11</v>
      </c>
      <c r="F74" s="5" t="s">
        <v>35</v>
      </c>
      <c r="G74" s="5">
        <v>1</v>
      </c>
      <c r="H74" s="5" t="s">
        <v>36</v>
      </c>
      <c r="I74" s="5">
        <v>1</v>
      </c>
      <c r="J74" s="5">
        <v>110338</v>
      </c>
      <c r="K74" s="5">
        <v>110338</v>
      </c>
      <c r="L74" s="5">
        <f>IF(AND(H1992=C1993,B1992=B1993),J1993,"")</f>
        <v>110548</v>
      </c>
      <c r="M74" s="2">
        <f>VLOOKUP(F1992,Sheet2!$A$2:$B$500,2,FALSE)</f>
        <v>24.1</v>
      </c>
    </row>
    <row r="75" ht="15.75" customHeight="1" spans="1:13">
      <c r="A75" s="5">
        <v>5748</v>
      </c>
      <c r="B75" s="5" t="s">
        <v>138</v>
      </c>
      <c r="C75" s="5" t="s">
        <v>36</v>
      </c>
      <c r="D75" s="5">
        <v>1</v>
      </c>
      <c r="E75" s="2">
        <f>IF(B1993=B1992,E1992+1,1)</f>
        <v>12</v>
      </c>
      <c r="F75" s="5" t="s">
        <v>37</v>
      </c>
      <c r="G75" s="5">
        <v>1</v>
      </c>
      <c r="H75" s="5" t="s">
        <v>38</v>
      </c>
      <c r="I75" s="5">
        <v>1</v>
      </c>
      <c r="J75" s="5">
        <v>110548</v>
      </c>
      <c r="K75" s="5">
        <v>110548</v>
      </c>
      <c r="L75" s="5">
        <f>IF(AND(H1993=C1994,B1993=B1994),J1994,"")</f>
        <v>110632</v>
      </c>
      <c r="M75" s="2">
        <f>VLOOKUP(F1993,Sheet2!$A$2:$B$500,2,FALSE)</f>
        <v>27.24</v>
      </c>
    </row>
    <row r="76" ht="15.75" customHeight="1" spans="1:13">
      <c r="A76" s="5">
        <v>5749</v>
      </c>
      <c r="B76" s="5" t="s">
        <v>138</v>
      </c>
      <c r="C76" s="5" t="s">
        <v>38</v>
      </c>
      <c r="D76" s="5">
        <v>1</v>
      </c>
      <c r="E76" s="2">
        <f>IF(B1994=B1993,E1993+1,1)</f>
        <v>13</v>
      </c>
      <c r="F76" s="5" t="s">
        <v>39</v>
      </c>
      <c r="G76" s="5">
        <v>1</v>
      </c>
      <c r="H76" s="5" t="s">
        <v>40</v>
      </c>
      <c r="I76" s="5">
        <v>1</v>
      </c>
      <c r="J76" s="5">
        <v>110632</v>
      </c>
      <c r="K76" s="5">
        <v>110632</v>
      </c>
      <c r="L76" s="5">
        <f>IF(AND(H1994=C1995,B1994=B1995),J1995,"")</f>
        <v>110804</v>
      </c>
      <c r="M76" s="2">
        <f>VLOOKUP(F1994,Sheet2!$A$2:$B$500,2,FALSE)</f>
        <v>29.84</v>
      </c>
    </row>
    <row r="77" ht="15.75" customHeight="1" spans="1:13">
      <c r="A77" s="5">
        <v>5750</v>
      </c>
      <c r="B77" s="5" t="s">
        <v>138</v>
      </c>
      <c r="C77" s="5" t="s">
        <v>40</v>
      </c>
      <c r="D77" s="5">
        <v>1</v>
      </c>
      <c r="E77" s="2">
        <f>IF(B1995=B1994,E1994+1,1)</f>
        <v>14</v>
      </c>
      <c r="F77" s="5" t="s">
        <v>41</v>
      </c>
      <c r="G77" s="5">
        <v>1</v>
      </c>
      <c r="H77" s="5" t="s">
        <v>42</v>
      </c>
      <c r="I77" s="5">
        <v>1</v>
      </c>
      <c r="J77" s="5">
        <v>110804</v>
      </c>
      <c r="K77" s="5">
        <v>110804</v>
      </c>
      <c r="L77" s="5">
        <f>IF(AND(H1995=C1996,B1995=B1996),J1996,"")</f>
        <v>110992</v>
      </c>
      <c r="M77" s="2">
        <f>VLOOKUP(F1995,Sheet2!$A$2:$B$500,2,FALSE)</f>
        <v>32.24</v>
      </c>
    </row>
    <row r="78" ht="15.75" customHeight="1" spans="1:13">
      <c r="A78" s="5">
        <v>5751</v>
      </c>
      <c r="B78" s="5" t="s">
        <v>138</v>
      </c>
      <c r="C78" s="5" t="s">
        <v>42</v>
      </c>
      <c r="D78" s="5">
        <v>1</v>
      </c>
      <c r="E78" s="2">
        <f>IF(B1996=B1995,E1995+1,1)</f>
        <v>15</v>
      </c>
      <c r="F78" s="5" t="s">
        <v>43</v>
      </c>
      <c r="G78" s="5">
        <v>2</v>
      </c>
      <c r="H78" s="5" t="s">
        <v>44</v>
      </c>
      <c r="I78" s="5">
        <v>1</v>
      </c>
      <c r="J78" s="5">
        <v>110992</v>
      </c>
      <c r="K78" s="5">
        <v>110992</v>
      </c>
      <c r="L78" s="5">
        <f>IF(AND(H1996=C1997,B1996=B1997),J1997,"")</f>
        <v>111144</v>
      </c>
      <c r="M78" s="2">
        <f>VLOOKUP(F1996,Sheet2!$A$2:$B$500,2,FALSE)</f>
        <v>36.35</v>
      </c>
    </row>
    <row r="79" ht="15.75" customHeight="1" spans="1:13">
      <c r="A79" s="5">
        <v>5752</v>
      </c>
      <c r="B79" s="5" t="s">
        <v>138</v>
      </c>
      <c r="C79" s="5" t="s">
        <v>44</v>
      </c>
      <c r="D79" s="5">
        <v>1</v>
      </c>
      <c r="E79" s="2">
        <f>IF(B1997=B1996,E1996+1,1)</f>
        <v>16</v>
      </c>
      <c r="F79" s="5" t="s">
        <v>45</v>
      </c>
      <c r="G79" s="5">
        <v>1</v>
      </c>
      <c r="H79" s="5" t="s">
        <v>46</v>
      </c>
      <c r="I79" s="5">
        <v>1</v>
      </c>
      <c r="J79" s="5">
        <v>111144</v>
      </c>
      <c r="K79" s="5">
        <v>111144</v>
      </c>
      <c r="L79" s="5">
        <f>IF(AND(H1997=C1998,B1997=B1998),J1998,"")</f>
        <v>111406</v>
      </c>
      <c r="M79" s="2">
        <f>VLOOKUP(F1997,Sheet2!$A$2:$B$500,2,FALSE)</f>
        <v>39.85</v>
      </c>
    </row>
    <row r="80" ht="15.75" customHeight="1" spans="1:13">
      <c r="A80" s="5">
        <v>5753</v>
      </c>
      <c r="B80" s="5" t="s">
        <v>138</v>
      </c>
      <c r="C80" s="5" t="s">
        <v>46</v>
      </c>
      <c r="D80" s="5">
        <v>1</v>
      </c>
      <c r="E80" s="2">
        <f>IF(B1998=B1997,E1997+1,1)</f>
        <v>17</v>
      </c>
      <c r="F80" s="5" t="s">
        <v>47</v>
      </c>
      <c r="G80" s="5">
        <v>1</v>
      </c>
      <c r="H80" s="5" t="s">
        <v>48</v>
      </c>
      <c r="I80" s="5">
        <v>1</v>
      </c>
      <c r="J80" s="5">
        <v>111406</v>
      </c>
      <c r="K80" s="5">
        <v>111406</v>
      </c>
      <c r="L80" s="5">
        <f>IF(AND(H1998=C1999,B1998=B1999),J1999,"")</f>
        <v>111490</v>
      </c>
      <c r="M80" s="2">
        <f>VLOOKUP(F1998,Sheet2!$A$2:$B$500,2,FALSE)</f>
        <v>45.27</v>
      </c>
    </row>
    <row r="81" ht="15.75" customHeight="1" spans="1:13">
      <c r="A81" s="5">
        <v>5754</v>
      </c>
      <c r="B81" s="5" t="s">
        <v>138</v>
      </c>
      <c r="C81" s="5" t="s">
        <v>48</v>
      </c>
      <c r="D81" s="5">
        <v>1</v>
      </c>
      <c r="E81" s="2">
        <f>IF(B1999=B1998,E1998+1,1)</f>
        <v>18</v>
      </c>
      <c r="F81" s="5" t="s">
        <v>49</v>
      </c>
      <c r="G81" s="5">
        <v>1</v>
      </c>
      <c r="H81" s="5" t="s">
        <v>50</v>
      </c>
      <c r="I81" s="5">
        <v>1</v>
      </c>
      <c r="J81" s="5">
        <v>111490</v>
      </c>
      <c r="K81" s="5">
        <v>111490</v>
      </c>
      <c r="L81" s="5">
        <f>IF(AND(H1999=C2000,B1999=B2000),J2000,"")</f>
        <v>111700</v>
      </c>
      <c r="M81" s="2">
        <f>VLOOKUP(F1999,Sheet2!$A$2:$B$500,2,FALSE)</f>
        <v>47.94</v>
      </c>
    </row>
    <row r="82" ht="15.75" customHeight="1" spans="1:13">
      <c r="A82" s="5">
        <v>5755</v>
      </c>
      <c r="B82" s="5" t="s">
        <v>138</v>
      </c>
      <c r="C82" s="5" t="s">
        <v>50</v>
      </c>
      <c r="D82" s="5">
        <v>1</v>
      </c>
      <c r="E82" s="2">
        <f>IF(B2000=B1999,E1999+1,1)</f>
        <v>19</v>
      </c>
      <c r="F82" s="5" t="s">
        <v>51</v>
      </c>
      <c r="G82" s="5">
        <v>2</v>
      </c>
      <c r="H82" s="5" t="s">
        <v>52</v>
      </c>
      <c r="I82" s="5">
        <v>1</v>
      </c>
      <c r="J82" s="5">
        <v>111700</v>
      </c>
      <c r="K82" s="5">
        <v>111700</v>
      </c>
      <c r="L82" s="5">
        <f>IF(AND(H2000=C2001,B2000=B2001),J2001,"")</f>
        <v>111978</v>
      </c>
      <c r="M82" s="2">
        <f>VLOOKUP(F2000,Sheet2!$A$2:$B$500,2,FALSE)</f>
        <v>51.05</v>
      </c>
    </row>
    <row r="83" ht="15.75" customHeight="1" spans="1:13">
      <c r="A83" s="5">
        <v>5756</v>
      </c>
      <c r="B83" s="5" t="s">
        <v>138</v>
      </c>
      <c r="C83" s="5" t="s">
        <v>52</v>
      </c>
      <c r="D83" s="5">
        <v>1</v>
      </c>
      <c r="E83" s="2">
        <f>IF(B2001=B2000,E2000+1,1)</f>
        <v>20</v>
      </c>
      <c r="F83" s="5" t="s">
        <v>53</v>
      </c>
      <c r="G83" s="5">
        <v>1</v>
      </c>
      <c r="H83" s="5" t="s">
        <v>54</v>
      </c>
      <c r="I83" s="5">
        <v>1</v>
      </c>
      <c r="J83" s="5">
        <v>111978</v>
      </c>
      <c r="K83" s="5">
        <v>111978</v>
      </c>
      <c r="L83" s="5">
        <f>IF(AND(H2001=C2002,B2001=B2002),J2002,"")</f>
        <v>112190</v>
      </c>
      <c r="M83" s="2">
        <f>VLOOKUP(F2001,Sheet2!$A$2:$B$500,2,FALSE)</f>
        <v>55.05</v>
      </c>
    </row>
    <row r="84" ht="15.75" customHeight="1" spans="1:13">
      <c r="A84" s="5">
        <v>5757</v>
      </c>
      <c r="B84" s="5" t="s">
        <v>138</v>
      </c>
      <c r="C84" s="5" t="s">
        <v>54</v>
      </c>
      <c r="D84" s="5">
        <v>1</v>
      </c>
      <c r="E84" s="2">
        <f>IF(B2002=B2001,E2001+1,1)</f>
        <v>21</v>
      </c>
      <c r="F84" s="5" t="s">
        <v>55</v>
      </c>
      <c r="G84" s="5">
        <v>2</v>
      </c>
      <c r="H84" s="5" t="s">
        <v>56</v>
      </c>
      <c r="I84" s="5">
        <v>2</v>
      </c>
      <c r="J84" s="5">
        <v>112190</v>
      </c>
      <c r="K84" s="5">
        <v>112190</v>
      </c>
      <c r="L84" s="5">
        <f>IF(AND(H2002=C2003,B2002=B2003),J2003,"")</f>
        <v>112366</v>
      </c>
      <c r="M84" s="2">
        <f>VLOOKUP(F2002,Sheet2!$A$2:$B$500,2,FALSE)</f>
        <v>58.45</v>
      </c>
    </row>
    <row r="85" ht="15.75" customHeight="1" spans="1:13">
      <c r="A85" s="5">
        <v>5758</v>
      </c>
      <c r="B85" s="5" t="s">
        <v>138</v>
      </c>
      <c r="C85" s="5" t="s">
        <v>56</v>
      </c>
      <c r="D85" s="5">
        <v>2</v>
      </c>
      <c r="E85" s="2">
        <f>IF(B2003=B2002,E2002+1,1)</f>
        <v>22</v>
      </c>
      <c r="F85" s="5" t="s">
        <v>57</v>
      </c>
      <c r="G85" s="5">
        <v>2</v>
      </c>
      <c r="H85" s="5" t="s">
        <v>58</v>
      </c>
      <c r="I85" s="5">
        <v>2</v>
      </c>
      <c r="J85" s="5">
        <v>112366</v>
      </c>
      <c r="K85" s="5">
        <v>112366</v>
      </c>
      <c r="L85" s="5">
        <f>IF(AND(H2003=C2004,B2003=B2004),J2004,"")</f>
        <v>112450</v>
      </c>
      <c r="M85" s="2">
        <f>VLOOKUP(F2003,Sheet2!$A$2:$B$500,2,FALSE)</f>
        <v>61.25</v>
      </c>
    </row>
    <row r="86" ht="15.75" customHeight="1" spans="1:13">
      <c r="A86" s="5">
        <v>5759</v>
      </c>
      <c r="B86" s="5" t="s">
        <v>138</v>
      </c>
      <c r="C86" s="5" t="s">
        <v>58</v>
      </c>
      <c r="D86" s="5">
        <v>2</v>
      </c>
      <c r="E86" s="2">
        <f>IF(B2004=B2003,E2003+1,1)</f>
        <v>23</v>
      </c>
      <c r="F86" s="5" t="s">
        <v>59</v>
      </c>
      <c r="G86" s="5">
        <v>3</v>
      </c>
      <c r="H86" s="5" t="s">
        <v>60</v>
      </c>
      <c r="I86" s="5">
        <v>2</v>
      </c>
      <c r="J86" s="5">
        <v>112450</v>
      </c>
      <c r="K86" s="5">
        <v>112450</v>
      </c>
      <c r="L86" s="5">
        <f>IF(AND(H2004=C2005,B2004=B2005),J2005,"")</f>
        <v>112634</v>
      </c>
      <c r="M86" s="2">
        <f>VLOOKUP(F2004,Sheet2!$A$2:$B$500,2,FALSE)</f>
        <v>63.75</v>
      </c>
    </row>
    <row r="87" ht="15.75" customHeight="1" spans="1:13">
      <c r="A87" s="5">
        <v>5760</v>
      </c>
      <c r="B87" s="5" t="s">
        <v>138</v>
      </c>
      <c r="C87" s="5" t="s">
        <v>60</v>
      </c>
      <c r="D87" s="5">
        <v>2</v>
      </c>
      <c r="E87" s="2">
        <f>IF(B2005=B2004,E2004+1,1)</f>
        <v>24</v>
      </c>
      <c r="F87" s="5" t="s">
        <v>61</v>
      </c>
      <c r="G87" s="5">
        <v>2</v>
      </c>
      <c r="H87" s="5" t="s">
        <v>62</v>
      </c>
      <c r="I87" s="5">
        <v>2</v>
      </c>
      <c r="J87" s="5">
        <v>112634</v>
      </c>
      <c r="K87" s="5">
        <v>112634</v>
      </c>
      <c r="L87" s="5">
        <f>IF(AND(H2005=C2006,B2005=B2006),J2006,"")</f>
        <v>112674</v>
      </c>
      <c r="M87" s="2">
        <f>VLOOKUP(F2005,Sheet2!$A$2:$B$500,2,FALSE)</f>
        <v>67.39</v>
      </c>
    </row>
    <row r="88" ht="15.75" customHeight="1" spans="1:13">
      <c r="A88" s="5">
        <v>5761</v>
      </c>
      <c r="B88" s="5" t="s">
        <v>138</v>
      </c>
      <c r="C88" s="5" t="s">
        <v>62</v>
      </c>
      <c r="D88" s="5">
        <v>2</v>
      </c>
      <c r="E88" s="2">
        <f>IF(B2006=B2005,E2005+1,1)</f>
        <v>25</v>
      </c>
      <c r="F88" s="5" t="s">
        <v>63</v>
      </c>
      <c r="G88" s="5">
        <v>3</v>
      </c>
      <c r="H88" s="5" t="s">
        <v>64</v>
      </c>
      <c r="I88" s="5">
        <v>1</v>
      </c>
      <c r="J88" s="5">
        <v>112674</v>
      </c>
      <c r="K88" s="5">
        <v>112674</v>
      </c>
      <c r="L88" s="5">
        <f>IF(AND(H2006=C2007,B2006=B2007),J2007,"")</f>
        <v>112728</v>
      </c>
      <c r="M88" s="2">
        <f>VLOOKUP(F2006,Sheet2!$A$2:$B$500,2,FALSE)</f>
        <v>68.59</v>
      </c>
    </row>
    <row r="89" ht="15.75" customHeight="1" spans="1:13">
      <c r="A89" s="5">
        <v>5762</v>
      </c>
      <c r="B89" s="5" t="s">
        <v>138</v>
      </c>
      <c r="C89" s="5" t="s">
        <v>64</v>
      </c>
      <c r="D89" s="5">
        <v>1</v>
      </c>
      <c r="E89" s="2">
        <f>IF(B2007=B2006,E2006+1,1)</f>
        <v>26</v>
      </c>
      <c r="F89" s="5" t="s">
        <v>65</v>
      </c>
      <c r="G89" s="5">
        <v>1</v>
      </c>
      <c r="H89" s="5" t="s">
        <v>66</v>
      </c>
      <c r="I89" s="5">
        <v>1</v>
      </c>
      <c r="J89" s="5">
        <v>112728</v>
      </c>
      <c r="K89" s="5">
        <v>112728</v>
      </c>
      <c r="L89" s="5">
        <f>IF(AND(H2007=C2008,B2007=B2008),J2008,"")</f>
        <v>113058</v>
      </c>
      <c r="M89" s="2">
        <f>VLOOKUP(F2007,Sheet2!$A$2:$B$500,2,FALSE)</f>
        <v>71.26</v>
      </c>
    </row>
    <row r="90" ht="15.75" customHeight="1" spans="1:13">
      <c r="A90" s="5">
        <v>5763</v>
      </c>
      <c r="B90" s="5" t="s">
        <v>138</v>
      </c>
      <c r="C90" s="5" t="s">
        <v>66</v>
      </c>
      <c r="D90" s="5">
        <v>1</v>
      </c>
      <c r="E90" s="2">
        <f>IF(B2008=B2007,E2007+1,1)</f>
        <v>27</v>
      </c>
      <c r="F90" s="5" t="s">
        <v>67</v>
      </c>
      <c r="G90" s="5">
        <v>1</v>
      </c>
      <c r="H90" s="5" t="s">
        <v>68</v>
      </c>
      <c r="I90" s="5">
        <v>1</v>
      </c>
      <c r="J90" s="5">
        <v>113058</v>
      </c>
      <c r="K90" s="5">
        <v>113058</v>
      </c>
      <c r="L90" s="5">
        <f>IF(AND(H2008=C2009,B2008=B2009),J2009,"")</f>
        <v>113218</v>
      </c>
      <c r="M90" s="2">
        <f>VLOOKUP(F2008,Sheet2!$A$2:$B$500,2,FALSE)</f>
        <v>76.26</v>
      </c>
    </row>
    <row r="91" ht="15.75" customHeight="1" spans="1:13">
      <c r="A91" s="5">
        <v>5764</v>
      </c>
      <c r="B91" s="5" t="s">
        <v>138</v>
      </c>
      <c r="C91" s="5" t="s">
        <v>68</v>
      </c>
      <c r="D91" s="5">
        <v>1</v>
      </c>
      <c r="E91" s="2">
        <f>IF(B2009=B2008,E2008+1,1)</f>
        <v>28</v>
      </c>
      <c r="F91" s="5" t="s">
        <v>69</v>
      </c>
      <c r="G91" s="5">
        <v>1</v>
      </c>
      <c r="H91" s="5" t="s">
        <v>70</v>
      </c>
      <c r="I91" s="5">
        <v>1</v>
      </c>
      <c r="J91" s="5">
        <v>113218</v>
      </c>
      <c r="K91" s="5">
        <v>113218</v>
      </c>
      <c r="L91" s="5">
        <f>IF(AND(H2009=C2010,B2009=B2010),J2010,"")</f>
        <v>113376</v>
      </c>
      <c r="M91" s="2">
        <f>VLOOKUP(F2009,Sheet2!$A$2:$B$500,2,FALSE)</f>
        <v>80.62</v>
      </c>
    </row>
    <row r="92" ht="15.75" customHeight="1" spans="1:13">
      <c r="A92" s="5">
        <v>5765</v>
      </c>
      <c r="B92" s="5" t="s">
        <v>138</v>
      </c>
      <c r="C92" s="5" t="s">
        <v>70</v>
      </c>
      <c r="D92" s="5">
        <v>1</v>
      </c>
      <c r="E92" s="2">
        <f>IF(B2010=B2009,E2009+1,1)</f>
        <v>29</v>
      </c>
      <c r="F92" s="5" t="s">
        <v>71</v>
      </c>
      <c r="G92" s="5">
        <v>1</v>
      </c>
      <c r="H92" s="5" t="s">
        <v>72</v>
      </c>
      <c r="I92" s="5">
        <v>1</v>
      </c>
      <c r="J92" s="5">
        <v>113376</v>
      </c>
      <c r="K92" s="5">
        <v>113376</v>
      </c>
      <c r="L92" s="5">
        <f>IF(AND(H2010=C2011,B2010=B2011),J2011,"")</f>
        <v>113498</v>
      </c>
      <c r="M92" s="2">
        <f>VLOOKUP(F2010,Sheet2!$A$2:$B$500,2,FALSE)</f>
        <v>84.62</v>
      </c>
    </row>
    <row r="93" ht="15.75" customHeight="1" spans="1:13">
      <c r="A93" s="5">
        <v>5766</v>
      </c>
      <c r="B93" s="5" t="s">
        <v>138</v>
      </c>
      <c r="C93" s="5" t="s">
        <v>72</v>
      </c>
      <c r="D93" s="5">
        <v>1</v>
      </c>
      <c r="E93" s="2">
        <f>IF(B2011=B2010,E2010+1,1)</f>
        <v>30</v>
      </c>
      <c r="F93" s="5" t="s">
        <v>73</v>
      </c>
      <c r="G93" s="5">
        <v>1</v>
      </c>
      <c r="H93" s="5" t="s">
        <v>74</v>
      </c>
      <c r="I93" s="5">
        <v>1</v>
      </c>
      <c r="J93" s="5">
        <v>113498</v>
      </c>
      <c r="K93" s="5">
        <v>113498</v>
      </c>
      <c r="L93" s="5">
        <f>IF(AND(H2011=C2012,B2011=B2012),J2012,"")</f>
        <v>113618</v>
      </c>
      <c r="M93" s="2">
        <f>VLOOKUP(F2011,Sheet2!$A$2:$B$500,2,FALSE)</f>
        <v>87.97</v>
      </c>
    </row>
    <row r="94" ht="15.75" customHeight="1" spans="1:13">
      <c r="A94" s="5">
        <v>5767</v>
      </c>
      <c r="B94" s="5" t="s">
        <v>138</v>
      </c>
      <c r="C94" s="5" t="s">
        <v>74</v>
      </c>
      <c r="D94" s="5">
        <v>1</v>
      </c>
      <c r="E94" s="2">
        <f>IF(B2012=B2011,E2011+1,1)</f>
        <v>31</v>
      </c>
      <c r="F94" s="5" t="s">
        <v>75</v>
      </c>
      <c r="G94" s="5">
        <v>1</v>
      </c>
      <c r="H94" s="5" t="s">
        <v>76</v>
      </c>
      <c r="I94" s="5">
        <v>1</v>
      </c>
      <c r="J94" s="5">
        <v>113618</v>
      </c>
      <c r="K94" s="5">
        <v>113618</v>
      </c>
      <c r="L94" s="5">
        <f>IF(AND(H2012=C2013,B2012=B2013),J2013,"")</f>
        <v>113824</v>
      </c>
      <c r="M94" s="2">
        <f>VLOOKUP(F2012,Sheet2!$A$2:$B$500,2,FALSE)</f>
        <v>91.19</v>
      </c>
    </row>
    <row r="95" ht="15.75" customHeight="1" spans="1:13">
      <c r="A95" s="5">
        <v>5768</v>
      </c>
      <c r="B95" s="5" t="s">
        <v>138</v>
      </c>
      <c r="C95" s="5" t="s">
        <v>76</v>
      </c>
      <c r="D95" s="5">
        <v>1</v>
      </c>
      <c r="E95" s="2">
        <f>IF(B2013=B2012,E2012+1,1)</f>
        <v>32</v>
      </c>
      <c r="F95" s="5" t="s">
        <v>77</v>
      </c>
      <c r="G95" s="5">
        <v>1</v>
      </c>
      <c r="H95" s="5" t="s">
        <v>78</v>
      </c>
      <c r="I95" s="5">
        <v>1</v>
      </c>
      <c r="J95" s="5">
        <v>113824</v>
      </c>
      <c r="K95" s="5">
        <v>113824</v>
      </c>
      <c r="L95" s="5">
        <f>IF(AND(H2013=C2014,B2013=B2014),J2014,"")</f>
        <v>114094</v>
      </c>
      <c r="M95" s="2">
        <f>VLOOKUP(F2013,Sheet2!$A$2:$B$500,2,FALSE)</f>
        <v>97.09</v>
      </c>
    </row>
    <row r="96" ht="15.75" customHeight="1" spans="1:13">
      <c r="A96" s="5">
        <v>5769</v>
      </c>
      <c r="B96" s="5" t="s">
        <v>138</v>
      </c>
      <c r="C96" s="5" t="s">
        <v>78</v>
      </c>
      <c r="D96" s="5">
        <v>1</v>
      </c>
      <c r="E96" s="2">
        <f>IF(B2014=B2013,E2013+1,1)</f>
        <v>33</v>
      </c>
      <c r="F96" s="5" t="s">
        <v>79</v>
      </c>
      <c r="G96" s="5">
        <v>1</v>
      </c>
      <c r="H96" s="5" t="s">
        <v>80</v>
      </c>
      <c r="I96" s="5">
        <v>1</v>
      </c>
      <c r="J96" s="5">
        <v>114094</v>
      </c>
      <c r="K96" s="5">
        <v>114094</v>
      </c>
      <c r="L96" s="5">
        <f>IF(AND(H2014=C2015,B2014=B2015),J2015,"")</f>
        <v>114298</v>
      </c>
      <c r="M96" s="2">
        <f>VLOOKUP(F2014,Sheet2!$A$2:$B$500,2,FALSE)</f>
        <v>103.11</v>
      </c>
    </row>
    <row r="97" ht="15.75" customHeight="1" spans="1:13">
      <c r="A97" s="5">
        <v>5770</v>
      </c>
      <c r="B97" s="5" t="s">
        <v>138</v>
      </c>
      <c r="C97" s="5" t="s">
        <v>80</v>
      </c>
      <c r="D97" s="5">
        <v>1</v>
      </c>
      <c r="E97" s="2">
        <f>IF(B2015=B2014,E2014+1,1)</f>
        <v>34</v>
      </c>
      <c r="F97" s="5" t="s">
        <v>81</v>
      </c>
      <c r="G97" s="5">
        <v>1</v>
      </c>
      <c r="H97" s="5" t="s">
        <v>82</v>
      </c>
      <c r="I97" s="5">
        <v>2</v>
      </c>
      <c r="J97" s="5">
        <v>114298</v>
      </c>
      <c r="K97" s="5">
        <v>114298</v>
      </c>
      <c r="L97" s="5">
        <f>IF(AND(H2015=C2016,B2015=B2016),J2016,"")</f>
        <v>114666</v>
      </c>
      <c r="M97" s="2">
        <f>VLOOKUP(F2015,Sheet2!$A$2:$B$500,2,FALSE)</f>
        <v>108.81</v>
      </c>
    </row>
    <row r="98" ht="15.75" customHeight="1" spans="1:13">
      <c r="A98" s="5">
        <v>5771</v>
      </c>
      <c r="B98" s="5" t="s">
        <v>138</v>
      </c>
      <c r="C98" s="5" t="s">
        <v>82</v>
      </c>
      <c r="D98" s="5">
        <v>2</v>
      </c>
      <c r="E98" s="2">
        <f>IF(B2016=B2015,E2015+1,1)</f>
        <v>35</v>
      </c>
      <c r="F98" s="5" t="s">
        <v>83</v>
      </c>
      <c r="G98" s="5">
        <v>1</v>
      </c>
      <c r="H98" s="5" t="s">
        <v>84</v>
      </c>
      <c r="I98" s="5">
        <v>1</v>
      </c>
      <c r="J98" s="5">
        <v>114666</v>
      </c>
      <c r="K98" s="5">
        <v>114786</v>
      </c>
      <c r="L98" s="5">
        <f>IF(AND(H2016=C2017,B2016=B2017),J2017,"")</f>
        <v>115146</v>
      </c>
      <c r="M98" s="2">
        <f>VLOOKUP(F2016,Sheet2!$A$2:$B$500,2,FALSE)</f>
        <v>116.01</v>
      </c>
    </row>
    <row r="99" ht="15.75" customHeight="1" spans="1:13">
      <c r="A99" s="5">
        <v>5772</v>
      </c>
      <c r="B99" s="5" t="s">
        <v>138</v>
      </c>
      <c r="C99" s="5" t="s">
        <v>84</v>
      </c>
      <c r="D99" s="5">
        <v>1</v>
      </c>
      <c r="E99" s="2">
        <f>IF(B2017=B2016,E2016+1,1)</f>
        <v>36</v>
      </c>
      <c r="F99" s="5" t="s">
        <v>85</v>
      </c>
      <c r="G99" s="5">
        <v>3</v>
      </c>
      <c r="H99" s="5" t="s">
        <v>86</v>
      </c>
      <c r="I99" s="5">
        <v>1</v>
      </c>
      <c r="J99" s="5">
        <v>115146</v>
      </c>
      <c r="K99" s="5">
        <v>115146</v>
      </c>
      <c r="L99" s="5">
        <f>IF(AND(H2017=C2018,B2017=B2018),J2018,"")</f>
        <v>115254</v>
      </c>
      <c r="M99" s="2">
        <f>VLOOKUP(F2017,Sheet2!$A$2:$B$500,2,FALSE)</f>
        <v>122.31</v>
      </c>
    </row>
    <row r="100" ht="15.75" customHeight="1" spans="1:13">
      <c r="A100" s="5">
        <v>5773</v>
      </c>
      <c r="B100" s="5" t="s">
        <v>138</v>
      </c>
      <c r="C100" s="5" t="s">
        <v>86</v>
      </c>
      <c r="D100" s="5">
        <v>1</v>
      </c>
      <c r="E100" s="2">
        <f>IF(B2018=B2017,E2017+1,1)</f>
        <v>37</v>
      </c>
      <c r="F100" s="5" t="s">
        <v>87</v>
      </c>
      <c r="G100" s="5">
        <v>2</v>
      </c>
      <c r="H100" s="5" t="s">
        <v>88</v>
      </c>
      <c r="I100" s="5">
        <v>1</v>
      </c>
      <c r="J100" s="5">
        <v>115254</v>
      </c>
      <c r="K100" s="5">
        <v>115254</v>
      </c>
      <c r="L100" s="5">
        <f>IF(AND(H2018=C2019,B2018=B2019),J2019,"")</f>
        <v>115614</v>
      </c>
      <c r="M100" s="2">
        <f>VLOOKUP(F2018,Sheet2!$A$2:$B$500,2,FALSE)</f>
        <v>124.31</v>
      </c>
    </row>
    <row r="101" ht="15.75" customHeight="1" spans="1:13">
      <c r="A101" s="5">
        <v>5774</v>
      </c>
      <c r="B101" s="5" t="s">
        <v>138</v>
      </c>
      <c r="C101" s="5" t="s">
        <v>88</v>
      </c>
      <c r="D101" s="5">
        <v>1</v>
      </c>
      <c r="E101" s="2">
        <f>IF(B2019=B2018,E2018+1,1)</f>
        <v>38</v>
      </c>
      <c r="F101" s="5" t="s">
        <v>89</v>
      </c>
      <c r="G101" s="5">
        <v>1</v>
      </c>
      <c r="H101" s="5" t="s">
        <v>90</v>
      </c>
      <c r="I101" s="5">
        <v>1</v>
      </c>
      <c r="J101" s="5">
        <v>115614</v>
      </c>
      <c r="K101" s="5">
        <v>115614</v>
      </c>
      <c r="L101" s="5">
        <f>IF(AND(H2019=C2020,B2019=B2020),J2020,"")</f>
        <v>115898</v>
      </c>
      <c r="M101" s="2">
        <f>VLOOKUP(F2019,Sheet2!$A$2:$B$500,2,FALSE)</f>
        <v>130.91</v>
      </c>
    </row>
    <row r="102" ht="15.75" customHeight="1" spans="1:13">
      <c r="A102" s="5">
        <v>5775</v>
      </c>
      <c r="B102" s="5" t="s">
        <v>138</v>
      </c>
      <c r="C102" s="5" t="s">
        <v>90</v>
      </c>
      <c r="D102" s="5">
        <v>1</v>
      </c>
      <c r="E102" s="2">
        <f>IF(B2020=B2019,E2019+1,1)</f>
        <v>39</v>
      </c>
      <c r="F102" s="5" t="s">
        <v>91</v>
      </c>
      <c r="G102" s="5">
        <v>1</v>
      </c>
      <c r="H102" s="5" t="s">
        <v>92</v>
      </c>
      <c r="I102" s="5">
        <v>1</v>
      </c>
      <c r="J102" s="5">
        <v>115898</v>
      </c>
      <c r="K102" s="5">
        <v>115898</v>
      </c>
      <c r="L102" s="5">
        <f>IF(AND(H2020=C2021,B2020=B2021),J2021,"")</f>
        <v>116142</v>
      </c>
      <c r="M102" s="2">
        <f>VLOOKUP(F2020,Sheet2!$A$2:$B$500,2,FALSE)</f>
        <v>138.81</v>
      </c>
    </row>
    <row r="103" ht="15.75" customHeight="1" spans="1:13">
      <c r="A103" s="5">
        <v>5776</v>
      </c>
      <c r="B103" s="5" t="s">
        <v>138</v>
      </c>
      <c r="C103" s="5" t="s">
        <v>92</v>
      </c>
      <c r="D103" s="5">
        <v>1</v>
      </c>
      <c r="E103" s="2">
        <f>IF(B2021=B2020,E2020+1,1)</f>
        <v>40</v>
      </c>
      <c r="F103" s="5" t="s">
        <v>93</v>
      </c>
      <c r="G103" s="5">
        <v>1</v>
      </c>
      <c r="H103" s="5" t="s">
        <v>94</v>
      </c>
      <c r="I103" s="5">
        <v>1</v>
      </c>
      <c r="J103" s="5">
        <v>116142</v>
      </c>
      <c r="K103" s="5">
        <v>116142</v>
      </c>
      <c r="L103" s="5">
        <f>IF(AND(H2021=C2022,B2021=B2022),J2022,"")</f>
        <v>116502</v>
      </c>
      <c r="M103" s="2">
        <f>VLOOKUP(F2021,Sheet2!$A$2:$B$500,2,FALSE)</f>
        <v>145.57</v>
      </c>
    </row>
    <row r="104" ht="15.75" customHeight="1" spans="1:13">
      <c r="A104" s="5">
        <v>5777</v>
      </c>
      <c r="B104" s="5" t="s">
        <v>138</v>
      </c>
      <c r="C104" s="5" t="s">
        <v>94</v>
      </c>
      <c r="D104" s="5">
        <v>1</v>
      </c>
      <c r="E104" s="2">
        <f>IF(B2022=B2021,E2021+1,1)</f>
        <v>41</v>
      </c>
      <c r="F104" s="5" t="s">
        <v>95</v>
      </c>
      <c r="G104" s="5">
        <v>2</v>
      </c>
      <c r="H104" s="5" t="s">
        <v>96</v>
      </c>
      <c r="I104" s="5">
        <v>1</v>
      </c>
      <c r="J104" s="5">
        <v>116502</v>
      </c>
      <c r="K104" s="5">
        <v>116622</v>
      </c>
      <c r="L104" s="5">
        <f>IF(AND(H2022=C2023,B2022=B2023),J2023,"")</f>
        <v>116900</v>
      </c>
      <c r="M104" s="2">
        <f>VLOOKUP(F2022,Sheet2!$A$2:$B$500,2,FALSE)</f>
        <v>154.14</v>
      </c>
    </row>
    <row r="105" ht="15.75" customHeight="1" spans="1:13">
      <c r="A105" s="5">
        <v>5778</v>
      </c>
      <c r="B105" s="5" t="s">
        <v>138</v>
      </c>
      <c r="C105" s="5" t="s">
        <v>96</v>
      </c>
      <c r="D105" s="5">
        <v>1</v>
      </c>
      <c r="E105" s="2">
        <f>IF(B2023=B2022,E2022+1,1)</f>
        <v>42</v>
      </c>
      <c r="F105" s="5" t="s">
        <v>97</v>
      </c>
      <c r="G105" s="5">
        <v>1</v>
      </c>
      <c r="H105" s="5" t="s">
        <v>98</v>
      </c>
      <c r="I105" s="5">
        <v>1</v>
      </c>
      <c r="J105" s="5">
        <v>116900</v>
      </c>
      <c r="K105" s="5">
        <v>116900</v>
      </c>
      <c r="L105" s="5">
        <f>IF(AND(H2023=C2024,B2023=B2024),J2024,"")</f>
        <v>117218</v>
      </c>
      <c r="M105" s="2">
        <f>VLOOKUP(F2023,Sheet2!$A$2:$B$500,2,FALSE)</f>
        <v>161.42</v>
      </c>
    </row>
    <row r="106" ht="15.75" customHeight="1" spans="1:13">
      <c r="A106" s="5">
        <v>5779</v>
      </c>
      <c r="B106" s="5" t="s">
        <v>138</v>
      </c>
      <c r="C106" s="5" t="s">
        <v>98</v>
      </c>
      <c r="D106" s="5">
        <v>1</v>
      </c>
      <c r="E106" s="2">
        <f>IF(B2024=B2023,E2023+1,1)</f>
        <v>43</v>
      </c>
      <c r="F106" s="5" t="s">
        <v>99</v>
      </c>
      <c r="G106" s="5">
        <v>2</v>
      </c>
      <c r="H106" s="5" t="s">
        <v>100</v>
      </c>
      <c r="I106" s="5">
        <v>1</v>
      </c>
      <c r="J106" s="5">
        <v>117218</v>
      </c>
      <c r="K106" s="5">
        <v>117218</v>
      </c>
      <c r="L106" s="5">
        <f>IF(AND(H2024=C2025,B2024=B2025),J2025,"")</f>
        <v>117548</v>
      </c>
      <c r="M106" s="2">
        <f>VLOOKUP(F2024,Sheet2!$A$2:$B$500,2,FALSE)</f>
        <v>169.73</v>
      </c>
    </row>
    <row r="107" ht="15.75" customHeight="1" spans="1:13">
      <c r="A107" s="5">
        <v>5780</v>
      </c>
      <c r="B107" s="5" t="s">
        <v>138</v>
      </c>
      <c r="C107" s="5" t="s">
        <v>100</v>
      </c>
      <c r="D107" s="5">
        <v>1</v>
      </c>
      <c r="E107" s="2">
        <f>IF(B2025=B2024,E2024+1,1)</f>
        <v>44</v>
      </c>
      <c r="F107" s="5" t="s">
        <v>101</v>
      </c>
      <c r="G107" s="5">
        <v>1</v>
      </c>
      <c r="H107" s="5" t="s">
        <v>102</v>
      </c>
      <c r="I107" s="5">
        <v>1</v>
      </c>
      <c r="J107" s="5">
        <v>117548</v>
      </c>
      <c r="K107" s="5">
        <v>117548</v>
      </c>
      <c r="L107" s="5">
        <f>IF(AND(H2025=C2026,B2025=B2026),J2026,"")</f>
        <v>117784</v>
      </c>
      <c r="M107" s="2">
        <f>VLOOKUP(F2025,Sheet2!$A$2:$B$500,2,FALSE)</f>
        <v>177.34</v>
      </c>
    </row>
    <row r="108" ht="15.75" customHeight="1" spans="1:13">
      <c r="A108" s="5">
        <v>5781</v>
      </c>
      <c r="B108" s="5" t="s">
        <v>138</v>
      </c>
      <c r="C108" s="5" t="s">
        <v>102</v>
      </c>
      <c r="D108" s="5">
        <v>1</v>
      </c>
      <c r="E108" s="2">
        <f>IF(B2026=B2025,E2025+1,1)</f>
        <v>45</v>
      </c>
      <c r="F108" s="5" t="s">
        <v>103</v>
      </c>
      <c r="G108" s="5">
        <v>2</v>
      </c>
      <c r="H108" s="5" t="s">
        <v>104</v>
      </c>
      <c r="I108" s="5">
        <v>1</v>
      </c>
      <c r="J108" s="5">
        <v>117784</v>
      </c>
      <c r="K108" s="5">
        <v>117784</v>
      </c>
      <c r="L108" s="5">
        <f>IF(AND(H2026=C2027,B2026=B2027),J2027,"")</f>
        <v>118110</v>
      </c>
      <c r="M108" s="2">
        <f>VLOOKUP(F2026,Sheet2!$A$2:$B$500,2,FALSE)</f>
        <v>183.35</v>
      </c>
    </row>
    <row r="109" ht="15.75" customHeight="1" spans="1:13">
      <c r="A109" s="5">
        <v>5782</v>
      </c>
      <c r="B109" s="5" t="s">
        <v>138</v>
      </c>
      <c r="C109" s="5" t="s">
        <v>104</v>
      </c>
      <c r="D109" s="5">
        <v>1</v>
      </c>
      <c r="E109" s="2">
        <f>IF(B2027=B2026,E2026+1,1)</f>
        <v>46</v>
      </c>
      <c r="F109" s="5" t="s">
        <v>105</v>
      </c>
      <c r="G109" s="5">
        <v>1</v>
      </c>
      <c r="H109" s="5" t="s">
        <v>106</v>
      </c>
      <c r="I109" s="5">
        <v>1</v>
      </c>
      <c r="J109" s="5">
        <v>118110</v>
      </c>
      <c r="K109" s="5">
        <v>118110</v>
      </c>
      <c r="L109" s="5">
        <f>IF(AND(H2027=C2028,B2027=B2028),J2028,"")</f>
        <v>118500</v>
      </c>
      <c r="M109" s="2">
        <f>VLOOKUP(F2027,Sheet2!$A$2:$B$500,2,FALSE)</f>
        <v>192.45</v>
      </c>
    </row>
    <row r="110" ht="15.75" customHeight="1" spans="1:13">
      <c r="A110" s="5">
        <v>5783</v>
      </c>
      <c r="B110" s="5" t="s">
        <v>138</v>
      </c>
      <c r="C110" s="5" t="s">
        <v>106</v>
      </c>
      <c r="D110" s="5">
        <v>1</v>
      </c>
      <c r="E110" s="2">
        <f>IF(B2028=B2027,E2027+1,1)</f>
        <v>47</v>
      </c>
      <c r="F110" s="5" t="s">
        <v>107</v>
      </c>
      <c r="G110" s="5">
        <v>1</v>
      </c>
      <c r="H110" s="5" t="s">
        <v>108</v>
      </c>
      <c r="I110" s="5">
        <v>1</v>
      </c>
      <c r="J110" s="5">
        <v>118500</v>
      </c>
      <c r="K110" s="5">
        <v>118500</v>
      </c>
      <c r="L110" s="5">
        <f>IF(AND(H2028=C2029,B2028=B2029),J2029,"")</f>
        <v>118734</v>
      </c>
      <c r="M110" s="2">
        <f>VLOOKUP(F2028,Sheet2!$A$2:$B$500,2,FALSE)</f>
        <v>201.81</v>
      </c>
    </row>
    <row r="111" ht="15.75" customHeight="1" spans="1:13">
      <c r="A111" s="5">
        <v>5784</v>
      </c>
      <c r="B111" s="5" t="s">
        <v>138</v>
      </c>
      <c r="C111" s="5" t="s">
        <v>108</v>
      </c>
      <c r="D111" s="5">
        <v>1</v>
      </c>
      <c r="E111" s="2">
        <f>IF(B2029=B2028,E2028+1,1)</f>
        <v>48</v>
      </c>
      <c r="F111" s="5" t="s">
        <v>109</v>
      </c>
      <c r="G111" s="5">
        <v>1</v>
      </c>
      <c r="H111" s="5" t="s">
        <v>110</v>
      </c>
      <c r="I111" s="5">
        <v>1</v>
      </c>
      <c r="J111" s="5">
        <v>118734</v>
      </c>
      <c r="K111" s="5">
        <v>118734</v>
      </c>
      <c r="L111" s="5">
        <f>IF(AND(H2029=C2030,B2029=B2030),J2030,"")</f>
        <v>118974</v>
      </c>
      <c r="M111" s="2">
        <f>VLOOKUP(F2029,Sheet2!$A$2:$B$500,2,FALSE)</f>
        <v>207.45</v>
      </c>
    </row>
    <row r="112" ht="15.75" customHeight="1" spans="1:13">
      <c r="A112" s="5">
        <v>5785</v>
      </c>
      <c r="B112" s="5" t="s">
        <v>138</v>
      </c>
      <c r="C112" s="5" t="s">
        <v>110</v>
      </c>
      <c r="D112" s="5">
        <v>1</v>
      </c>
      <c r="E112" s="2">
        <f>IF(B2030=B2029,E2029+1,1)</f>
        <v>49</v>
      </c>
      <c r="F112" s="5" t="s">
        <v>111</v>
      </c>
      <c r="G112" s="5">
        <v>2</v>
      </c>
      <c r="H112" s="5" t="s">
        <v>112</v>
      </c>
      <c r="I112" s="5">
        <v>1</v>
      </c>
      <c r="J112" s="5">
        <v>118974</v>
      </c>
      <c r="K112" s="5">
        <v>119094</v>
      </c>
      <c r="L112" s="5">
        <f>IF(AND(H2030=C2031,B2030=B2031),J2031,"")</f>
        <v>119458</v>
      </c>
      <c r="M112" s="2">
        <f>VLOOKUP(F2030,Sheet2!$A$2:$B$500,2,FALSE)</f>
        <v>213.87</v>
      </c>
    </row>
    <row r="113" ht="15.75" customHeight="1" spans="1:13">
      <c r="A113" s="5">
        <v>5786</v>
      </c>
      <c r="B113" s="5" t="s">
        <v>138</v>
      </c>
      <c r="C113" s="5" t="s">
        <v>112</v>
      </c>
      <c r="D113" s="5">
        <v>1</v>
      </c>
      <c r="E113" s="2">
        <f>IF(B2031=B2030,E2030+1,1)</f>
        <v>50</v>
      </c>
      <c r="F113" s="5" t="s">
        <v>113</v>
      </c>
      <c r="G113" s="5">
        <v>2</v>
      </c>
      <c r="H113" s="5" t="s">
        <v>114</v>
      </c>
      <c r="I113" s="5">
        <v>1</v>
      </c>
      <c r="J113" s="5">
        <v>119458</v>
      </c>
      <c r="K113" s="5">
        <v>119458</v>
      </c>
      <c r="L113" s="5">
        <f>IF(AND(H2031=C2032,B2031=B2032),J2032,"")</f>
        <v>119758</v>
      </c>
      <c r="M113" s="2">
        <f>VLOOKUP(F2031,Sheet2!$A$2:$B$500,2,FALSE)</f>
        <v>223.82</v>
      </c>
    </row>
    <row r="114" ht="15.75" customHeight="1" spans="1:13">
      <c r="A114" s="5">
        <v>5787</v>
      </c>
      <c r="B114" s="5" t="s">
        <v>138</v>
      </c>
      <c r="C114" s="5" t="s">
        <v>114</v>
      </c>
      <c r="D114" s="5">
        <v>1</v>
      </c>
      <c r="E114" s="2">
        <f>IF(B2032=B2031,E2031+1,1)</f>
        <v>51</v>
      </c>
      <c r="F114" s="5" t="s">
        <v>115</v>
      </c>
      <c r="G114" s="5">
        <v>2</v>
      </c>
      <c r="H114" s="5" t="s">
        <v>116</v>
      </c>
      <c r="I114" s="5">
        <v>1</v>
      </c>
      <c r="J114" s="5">
        <v>119758</v>
      </c>
      <c r="K114" s="5">
        <v>119758</v>
      </c>
      <c r="L114" s="5">
        <f>IF(AND(H2032=C2033,B2032=B2033),J2033,"")</f>
        <v>120014</v>
      </c>
      <c r="M114" s="2">
        <f>VLOOKUP(F2032,Sheet2!$A$2:$B$500,2,FALSE)</f>
        <v>230.82</v>
      </c>
    </row>
    <row r="115" ht="15.75" customHeight="1" spans="1:13">
      <c r="A115" s="5">
        <v>5788</v>
      </c>
      <c r="B115" s="5" t="s">
        <v>138</v>
      </c>
      <c r="C115" s="5" t="s">
        <v>116</v>
      </c>
      <c r="D115" s="5">
        <v>1</v>
      </c>
      <c r="E115" s="2">
        <f>IF(B2033=B2032,E2032+1,1)</f>
        <v>52</v>
      </c>
      <c r="F115" s="5" t="s">
        <v>117</v>
      </c>
      <c r="G115" s="5">
        <v>5</v>
      </c>
      <c r="H115" s="5" t="s">
        <v>118</v>
      </c>
      <c r="I115" s="5">
        <v>3</v>
      </c>
      <c r="J115" s="5">
        <v>120014</v>
      </c>
      <c r="K115" s="5">
        <v>120014</v>
      </c>
      <c r="L115" s="5">
        <f>IF(AND(H2033=C2034,B2033=B2034),J2034,"")</f>
        <v>120294</v>
      </c>
      <c r="M115" s="2">
        <f>VLOOKUP(F2033,Sheet2!$A$2:$B$500,2,FALSE)</f>
        <v>235.72</v>
      </c>
    </row>
    <row r="116" ht="15.75" customHeight="1" spans="1:13">
      <c r="A116" s="5">
        <v>5789</v>
      </c>
      <c r="B116" s="5" t="s">
        <v>138</v>
      </c>
      <c r="C116" s="5" t="s">
        <v>118</v>
      </c>
      <c r="D116" s="5">
        <v>3</v>
      </c>
      <c r="E116" s="2">
        <f>IF(B2034=B2033,E2033+1,1)</f>
        <v>53</v>
      </c>
      <c r="F116" s="5" t="s">
        <v>119</v>
      </c>
      <c r="G116" s="5">
        <v>3</v>
      </c>
      <c r="H116" s="5" t="s">
        <v>120</v>
      </c>
      <c r="I116" s="5">
        <v>3</v>
      </c>
      <c r="J116" s="5">
        <v>120294</v>
      </c>
      <c r="K116" s="5">
        <v>120294</v>
      </c>
      <c r="L116" s="5">
        <f>IF(AND(H2034=C2035,B2034=B2035),J2035,"")</f>
        <v>120422</v>
      </c>
      <c r="M116" s="2">
        <f>VLOOKUP(F2034,Sheet2!$A$2:$B$500,2,FALSE)</f>
        <v>243.13</v>
      </c>
    </row>
    <row r="117" ht="15.75" customHeight="1" spans="1:13">
      <c r="A117" s="5">
        <v>5790</v>
      </c>
      <c r="B117" s="5" t="s">
        <v>138</v>
      </c>
      <c r="C117" s="5" t="s">
        <v>120</v>
      </c>
      <c r="D117" s="5">
        <v>3</v>
      </c>
      <c r="E117" s="2">
        <f>IF(B2035=B2034,E2034+1,1)</f>
        <v>54</v>
      </c>
      <c r="F117" s="5" t="s">
        <v>121</v>
      </c>
      <c r="G117" s="5">
        <v>3</v>
      </c>
      <c r="H117" s="5" t="s">
        <v>122</v>
      </c>
      <c r="I117" s="5">
        <v>3</v>
      </c>
      <c r="J117" s="5">
        <v>120422</v>
      </c>
      <c r="K117" s="5">
        <v>120422</v>
      </c>
      <c r="L117" s="5">
        <f>IF(AND(H2035=C2036,B2035=B2036),J2036,"")</f>
        <v>120752</v>
      </c>
      <c r="M117" s="2">
        <f>VLOOKUP(F2035,Sheet2!$A$2:$B$500,2,FALSE)</f>
        <v>247.11</v>
      </c>
    </row>
    <row r="118" ht="15.75" customHeight="1" spans="1:13">
      <c r="A118" s="5">
        <v>5791</v>
      </c>
      <c r="B118" s="5" t="s">
        <v>138</v>
      </c>
      <c r="C118" s="5" t="s">
        <v>122</v>
      </c>
      <c r="D118" s="5">
        <v>3</v>
      </c>
      <c r="E118" s="2">
        <f>IF(B2036=B2035,E2035+1,1)</f>
        <v>55</v>
      </c>
      <c r="F118" s="5" t="s">
        <v>123</v>
      </c>
      <c r="G118" s="5">
        <v>11</v>
      </c>
      <c r="H118" s="5" t="s">
        <v>124</v>
      </c>
      <c r="I118" s="5">
        <v>2</v>
      </c>
      <c r="J118" s="5">
        <v>120752</v>
      </c>
      <c r="K118" s="5">
        <v>121232</v>
      </c>
      <c r="L118" s="5">
        <f>IF(AND(H2036=C2037,B2036=B2037),J2037,"")</f>
        <v>121514</v>
      </c>
      <c r="M118" s="2">
        <f>VLOOKUP(F2036,Sheet2!$A$2:$B$500,2,FALSE)</f>
        <v>250.21</v>
      </c>
    </row>
    <row r="119" ht="15.75" customHeight="1" spans="1:13">
      <c r="A119" s="5">
        <v>5792</v>
      </c>
      <c r="B119" s="5" t="s">
        <v>138</v>
      </c>
      <c r="C119" s="5" t="s">
        <v>124</v>
      </c>
      <c r="D119" s="5">
        <v>2</v>
      </c>
      <c r="E119" s="2">
        <f>IF(B2037=B2036,E2036+1,1)</f>
        <v>56</v>
      </c>
      <c r="F119" s="5" t="s">
        <v>125</v>
      </c>
      <c r="G119" s="5">
        <v>1</v>
      </c>
      <c r="H119" s="5" t="s">
        <v>126</v>
      </c>
      <c r="I119" s="5">
        <v>2</v>
      </c>
      <c r="J119" s="5">
        <v>121514</v>
      </c>
      <c r="K119" s="5">
        <v>121514</v>
      </c>
      <c r="L119" s="5">
        <f>IF(AND(H2037=C2038,B2037=B2038),J2038,"")</f>
        <v>121782</v>
      </c>
      <c r="M119" s="2">
        <f>VLOOKUP(F2037,Sheet2!$A$2:$B$500,2,FALSE)</f>
        <v>254.61</v>
      </c>
    </row>
    <row r="120" ht="15.75" customHeight="1" spans="1:13">
      <c r="A120" s="5">
        <v>5793</v>
      </c>
      <c r="B120" s="5" t="s">
        <v>138</v>
      </c>
      <c r="C120" s="5" t="s">
        <v>126</v>
      </c>
      <c r="D120" s="5">
        <v>2</v>
      </c>
      <c r="E120" s="2">
        <f>IF(B2038=B2037,E2037+1,1)</f>
        <v>57</v>
      </c>
      <c r="F120" s="5" t="s">
        <v>127</v>
      </c>
      <c r="G120" s="5">
        <v>1</v>
      </c>
      <c r="H120" s="5" t="s">
        <v>128</v>
      </c>
      <c r="I120" s="5">
        <v>2</v>
      </c>
      <c r="J120" s="5">
        <v>121782</v>
      </c>
      <c r="K120" s="5">
        <v>121782</v>
      </c>
      <c r="L120" s="5">
        <f>IF(AND(H2038=C2039,B2038=B2039),J2039,"")</f>
        <v>122108</v>
      </c>
      <c r="M120" s="2">
        <f>VLOOKUP(F2038,Sheet2!$A$2:$B$500,2,FALSE)</f>
        <v>260.81</v>
      </c>
    </row>
    <row r="121" ht="15.75" customHeight="1" spans="1:13">
      <c r="A121" s="5">
        <v>5794</v>
      </c>
      <c r="B121" s="5" t="s">
        <v>138</v>
      </c>
      <c r="C121" s="5" t="s">
        <v>128</v>
      </c>
      <c r="D121" s="5">
        <v>2</v>
      </c>
      <c r="E121" s="2">
        <f>IF(B2039=B2038,E2038+1,1)</f>
        <v>58</v>
      </c>
      <c r="F121" s="5" t="s">
        <v>129</v>
      </c>
      <c r="G121" s="5">
        <v>2</v>
      </c>
      <c r="H121" s="5" t="s">
        <v>130</v>
      </c>
      <c r="I121" s="5">
        <v>2</v>
      </c>
      <c r="J121" s="5">
        <v>122108</v>
      </c>
      <c r="K121" s="5">
        <v>122108</v>
      </c>
      <c r="L121" s="5">
        <f>IF(AND(H2039=C2040,B2039=B2040),J2040,"")</f>
        <v>122438</v>
      </c>
      <c r="M121" s="2">
        <f>VLOOKUP(F2039,Sheet2!$A$2:$B$500,2,FALSE)</f>
        <v>269.89</v>
      </c>
    </row>
    <row r="122" ht="15.75" customHeight="1" spans="1:13">
      <c r="A122" s="5">
        <v>5795</v>
      </c>
      <c r="B122" s="5" t="s">
        <v>138</v>
      </c>
      <c r="C122" s="5" t="s">
        <v>130</v>
      </c>
      <c r="D122" s="5">
        <v>2</v>
      </c>
      <c r="E122" s="2">
        <f>IF(B2040=B2039,E2039+1,1)</f>
        <v>59</v>
      </c>
      <c r="F122" s="5" t="s">
        <v>131</v>
      </c>
      <c r="G122" s="5">
        <v>5</v>
      </c>
      <c r="H122" s="5" t="s">
        <v>132</v>
      </c>
      <c r="I122" s="5">
        <v>2</v>
      </c>
      <c r="J122" s="5">
        <v>122438</v>
      </c>
      <c r="K122" s="5">
        <v>122498</v>
      </c>
      <c r="L122" s="5">
        <f>IF(AND(H2040=C2041,B2040=B2041),J2041,"")</f>
        <v>122782</v>
      </c>
      <c r="M122" s="2">
        <f>VLOOKUP(F2040,Sheet2!$A$2:$B$500,2,FALSE)</f>
        <v>277.05</v>
      </c>
    </row>
    <row r="123" ht="15.75" customHeight="1" spans="1:13">
      <c r="A123" s="5">
        <v>5796</v>
      </c>
      <c r="B123" s="5" t="s">
        <v>138</v>
      </c>
      <c r="C123" s="5" t="s">
        <v>132</v>
      </c>
      <c r="D123" s="5">
        <v>2</v>
      </c>
      <c r="E123" s="2">
        <f>IF(B2041=B2040,E2040+1,1)</f>
        <v>60</v>
      </c>
      <c r="F123" s="5" t="s">
        <v>133</v>
      </c>
      <c r="G123" s="5">
        <v>6</v>
      </c>
      <c r="H123" s="5" t="s">
        <v>134</v>
      </c>
      <c r="I123" s="5">
        <v>2</v>
      </c>
      <c r="J123" s="5">
        <v>122782</v>
      </c>
      <c r="K123" s="5">
        <v>122782</v>
      </c>
      <c r="L123" s="5">
        <f>IF(AND(H2041=C2042,B2041=B2042),J2042,"")</f>
        <v>123062</v>
      </c>
      <c r="M123" s="2">
        <f>VLOOKUP(F2041,Sheet2!$A$2:$B$500,2,FALSE)</f>
        <v>284.85</v>
      </c>
    </row>
    <row r="124" ht="15.75" customHeight="1" spans="1:13">
      <c r="A124" s="5">
        <v>5797</v>
      </c>
      <c r="B124" s="5" t="s">
        <v>138</v>
      </c>
      <c r="C124" s="5" t="s">
        <v>134</v>
      </c>
      <c r="D124" s="5">
        <v>2</v>
      </c>
      <c r="E124" s="2">
        <f>IF(B2042=B2041,E2041+1,1)</f>
        <v>61</v>
      </c>
      <c r="F124" s="5" t="s">
        <v>135</v>
      </c>
      <c r="G124" s="5">
        <v>9</v>
      </c>
      <c r="H124" s="5" t="s">
        <v>136</v>
      </c>
      <c r="I124" s="5">
        <v>3</v>
      </c>
      <c r="J124" s="5">
        <v>123062</v>
      </c>
      <c r="K124" s="5">
        <v>123062</v>
      </c>
      <c r="L124" s="5">
        <f>IF(AND(H2042=C2043,B2042=B2043),J2043,"")</f>
        <v>123200</v>
      </c>
      <c r="M124" s="2">
        <f>VLOOKUP(F2042,Sheet2!$A$2:$B$500,2,FALSE)</f>
        <v>292.25</v>
      </c>
    </row>
    <row r="125" ht="15.75" customHeight="1" spans="1:13">
      <c r="A125" s="5">
        <v>5798</v>
      </c>
      <c r="B125" s="5" t="s">
        <v>138</v>
      </c>
      <c r="C125" s="5" t="s">
        <v>136</v>
      </c>
      <c r="D125" s="5">
        <v>3</v>
      </c>
      <c r="E125" s="2">
        <f>IF(B2043=B2042,E2042+1,1)</f>
        <v>62</v>
      </c>
      <c r="F125" s="5" t="s">
        <v>137</v>
      </c>
      <c r="G125" s="5">
        <v>3</v>
      </c>
      <c r="H125" s="5"/>
      <c r="I125" s="5"/>
      <c r="J125" s="5">
        <v>123200</v>
      </c>
      <c r="K125" s="5">
        <v>123200</v>
      </c>
      <c r="L125" s="5" t="str">
        <f>IF(AND(H2043=C2044,B2043=B2044),J2044,"")</f>
        <v/>
      </c>
      <c r="M125" s="2">
        <f>VLOOKUP(F2043,Sheet2!$A$2:$B$500,2,FALSE)</f>
        <v>294.17</v>
      </c>
    </row>
    <row r="126" ht="15.75" customHeight="1" spans="1:13">
      <c r="A126" s="5">
        <v>1525</v>
      </c>
      <c r="B126" s="5" t="s">
        <v>139</v>
      </c>
      <c r="C126" s="5" t="s">
        <v>14</v>
      </c>
      <c r="D126" s="5" t="s">
        <v>14</v>
      </c>
      <c r="E126" s="2">
        <f>IF(B2044=B2043,E2043+1,1)</f>
        <v>1</v>
      </c>
      <c r="F126" s="5" t="s">
        <v>135</v>
      </c>
      <c r="G126" s="5">
        <v>1</v>
      </c>
      <c r="H126" s="5" t="s">
        <v>140</v>
      </c>
      <c r="I126" s="5">
        <v>1</v>
      </c>
      <c r="J126" s="5">
        <v>57060</v>
      </c>
      <c r="K126" s="5">
        <v>57060</v>
      </c>
      <c r="L126" s="5">
        <f>IF(AND(H2044=C2045,B2044=B2045),J2045,"")</f>
        <v>57340</v>
      </c>
      <c r="M126" s="2">
        <f>VLOOKUP(F2044,Sheet2!$A$2:$B$500,2,FALSE)</f>
        <v>292.25</v>
      </c>
    </row>
    <row r="127" ht="15.75" customHeight="1" spans="1:13">
      <c r="A127" s="5">
        <v>1526</v>
      </c>
      <c r="B127" s="5" t="s">
        <v>139</v>
      </c>
      <c r="C127" s="5" t="s">
        <v>140</v>
      </c>
      <c r="D127" s="5">
        <v>1</v>
      </c>
      <c r="E127" s="2">
        <f>IF(B2045=B2044,E2044+1,1)</f>
        <v>2</v>
      </c>
      <c r="F127" s="5" t="s">
        <v>133</v>
      </c>
      <c r="G127" s="5">
        <v>1</v>
      </c>
      <c r="H127" s="5" t="s">
        <v>141</v>
      </c>
      <c r="I127" s="5">
        <v>1</v>
      </c>
      <c r="J127" s="5">
        <v>57340</v>
      </c>
      <c r="K127" s="5">
        <v>57340</v>
      </c>
      <c r="L127" s="5">
        <f>IF(AND(H2045=C2046,B2045=B2046),J2046,"")</f>
        <v>57624</v>
      </c>
      <c r="M127" s="2">
        <f>VLOOKUP(F2045,Sheet2!$A$2:$B$500,2,FALSE)</f>
        <v>284.85</v>
      </c>
    </row>
    <row r="128" ht="15.75" customHeight="1" spans="1:13">
      <c r="A128" s="5">
        <v>1527</v>
      </c>
      <c r="B128" s="5" t="s">
        <v>139</v>
      </c>
      <c r="C128" s="5" t="s">
        <v>141</v>
      </c>
      <c r="D128" s="5">
        <v>1</v>
      </c>
      <c r="E128" s="2">
        <f>IF(B2046=B2045,E2045+1,1)</f>
        <v>3</v>
      </c>
      <c r="F128" s="5" t="s">
        <v>131</v>
      </c>
      <c r="G128" s="5">
        <v>5</v>
      </c>
      <c r="H128" s="5" t="s">
        <v>142</v>
      </c>
      <c r="I128" s="5">
        <v>3</v>
      </c>
      <c r="J128" s="5">
        <v>57624</v>
      </c>
      <c r="K128" s="5">
        <v>57744</v>
      </c>
      <c r="L128" s="5">
        <f>IF(AND(H2046=C2047,B2046=B2047),J2047,"")</f>
        <v>58022</v>
      </c>
      <c r="M128" s="2">
        <f>VLOOKUP(F2046,Sheet2!$A$2:$B$500,2,FALSE)</f>
        <v>277.05</v>
      </c>
    </row>
    <row r="129" ht="15.75" customHeight="1" spans="1:13">
      <c r="A129" s="5">
        <v>1528</v>
      </c>
      <c r="B129" s="5" t="s">
        <v>139</v>
      </c>
      <c r="C129" s="5" t="s">
        <v>142</v>
      </c>
      <c r="D129" s="5">
        <v>3</v>
      </c>
      <c r="E129" s="2">
        <f>IF(B2047=B2046,E2046+1,1)</f>
        <v>4</v>
      </c>
      <c r="F129" s="5" t="s">
        <v>129</v>
      </c>
      <c r="G129" s="5">
        <v>3</v>
      </c>
      <c r="H129" s="5" t="s">
        <v>143</v>
      </c>
      <c r="I129" s="5">
        <v>3</v>
      </c>
      <c r="J129" s="5">
        <v>58022</v>
      </c>
      <c r="K129" s="5">
        <v>58022</v>
      </c>
      <c r="L129" s="5">
        <f>IF(AND(H2047=C2048,B2047=B2048),J2048,"")</f>
        <v>58382</v>
      </c>
      <c r="M129" s="2">
        <f>VLOOKUP(F2047,Sheet2!$A$2:$B$500,2,FALSE)</f>
        <v>269.89</v>
      </c>
    </row>
    <row r="130" ht="15.75" customHeight="1" spans="1:13">
      <c r="A130" s="5">
        <v>1529</v>
      </c>
      <c r="B130" s="5" t="s">
        <v>139</v>
      </c>
      <c r="C130" s="5" t="s">
        <v>143</v>
      </c>
      <c r="D130" s="5">
        <v>3</v>
      </c>
      <c r="E130" s="2">
        <f>IF(B2048=B2047,E2047+1,1)</f>
        <v>5</v>
      </c>
      <c r="F130" s="5" t="s">
        <v>127</v>
      </c>
      <c r="G130" s="5">
        <v>6</v>
      </c>
      <c r="H130" s="5" t="s">
        <v>144</v>
      </c>
      <c r="I130" s="5">
        <v>3</v>
      </c>
      <c r="J130" s="5">
        <v>58382</v>
      </c>
      <c r="K130" s="5">
        <v>58382</v>
      </c>
      <c r="L130" s="5">
        <f>IF(AND(H2048=C2049,B2048=B2049),J2049,"")</f>
        <v>58680</v>
      </c>
      <c r="M130" s="2">
        <f>VLOOKUP(F2048,Sheet2!$A$2:$B$500,2,FALSE)</f>
        <v>260.81</v>
      </c>
    </row>
    <row r="131" ht="15.75" customHeight="1" spans="1:13">
      <c r="A131" s="5">
        <v>1530</v>
      </c>
      <c r="B131" s="5" t="s">
        <v>139</v>
      </c>
      <c r="C131" s="5" t="s">
        <v>144</v>
      </c>
      <c r="D131" s="5">
        <v>3</v>
      </c>
      <c r="E131" s="2">
        <f>IF(B2049=B2048,E2048+1,1)</f>
        <v>6</v>
      </c>
      <c r="F131" s="5" t="s">
        <v>125</v>
      </c>
      <c r="G131" s="5">
        <v>1</v>
      </c>
      <c r="H131" s="5" t="s">
        <v>145</v>
      </c>
      <c r="I131" s="5">
        <v>1</v>
      </c>
      <c r="J131" s="5">
        <v>58680</v>
      </c>
      <c r="K131" s="5">
        <v>58680</v>
      </c>
      <c r="L131" s="5">
        <f>IF(AND(H2049=C2050,B2049=B2050),J2050,"")</f>
        <v>59022</v>
      </c>
      <c r="M131" s="2">
        <f>VLOOKUP(F2049,Sheet2!$A$2:$B$500,2,FALSE)</f>
        <v>254.61</v>
      </c>
    </row>
    <row r="132" ht="15.75" customHeight="1" spans="1:13">
      <c r="A132" s="5">
        <v>1531</v>
      </c>
      <c r="B132" s="5" t="s">
        <v>139</v>
      </c>
      <c r="C132" s="5" t="s">
        <v>145</v>
      </c>
      <c r="D132" s="5">
        <v>1</v>
      </c>
      <c r="E132" s="2">
        <f>IF(B2050=B2049,E2049+1,1)</f>
        <v>7</v>
      </c>
      <c r="F132" s="5" t="s">
        <v>123</v>
      </c>
      <c r="G132" s="5">
        <v>6</v>
      </c>
      <c r="H132" s="5" t="s">
        <v>146</v>
      </c>
      <c r="I132" s="5">
        <v>2</v>
      </c>
      <c r="J132" s="5">
        <v>59022</v>
      </c>
      <c r="K132" s="5">
        <v>59502</v>
      </c>
      <c r="L132" s="5">
        <f>IF(AND(H2050=C2051,B2050=B2051),J2051,"")</f>
        <v>59740</v>
      </c>
      <c r="M132" s="2">
        <f>VLOOKUP(F2050,Sheet2!$A$2:$B$500,2,FALSE)</f>
        <v>250.21</v>
      </c>
    </row>
    <row r="133" ht="15.75" customHeight="1" spans="1:13">
      <c r="A133" s="5">
        <v>1532</v>
      </c>
      <c r="B133" s="5" t="s">
        <v>139</v>
      </c>
      <c r="C133" s="5" t="s">
        <v>146</v>
      </c>
      <c r="D133" s="5">
        <v>2</v>
      </c>
      <c r="E133" s="2">
        <f>IF(B2051=B2050,E2050+1,1)</f>
        <v>8</v>
      </c>
      <c r="F133" s="5" t="s">
        <v>121</v>
      </c>
      <c r="G133" s="5">
        <v>2</v>
      </c>
      <c r="H133" s="5" t="s">
        <v>147</v>
      </c>
      <c r="I133" s="5">
        <v>2</v>
      </c>
      <c r="J133" s="5">
        <v>59740</v>
      </c>
      <c r="K133" s="5">
        <v>59740</v>
      </c>
      <c r="L133" s="5">
        <f>IF(AND(H2051=C2052,B2051=B2052),J2052,"")</f>
        <v>59868</v>
      </c>
      <c r="M133" s="2">
        <f>VLOOKUP(F2051,Sheet2!$A$2:$B$500,2,FALSE)</f>
        <v>247.11</v>
      </c>
    </row>
    <row r="134" ht="15.75" customHeight="1" spans="1:13">
      <c r="A134" s="5">
        <v>1533</v>
      </c>
      <c r="B134" s="5" t="s">
        <v>139</v>
      </c>
      <c r="C134" s="5" t="s">
        <v>147</v>
      </c>
      <c r="D134" s="5">
        <v>2</v>
      </c>
      <c r="E134" s="2">
        <f>IF(B2052=B2051,E2051+1,1)</f>
        <v>9</v>
      </c>
      <c r="F134" s="5" t="s">
        <v>119</v>
      </c>
      <c r="G134" s="5">
        <v>2</v>
      </c>
      <c r="H134" s="5" t="s">
        <v>148</v>
      </c>
      <c r="I134" s="5">
        <v>2</v>
      </c>
      <c r="J134" s="5">
        <v>59868</v>
      </c>
      <c r="K134" s="5">
        <v>59868</v>
      </c>
      <c r="L134" s="5">
        <f>IF(AND(H2052=C2053,B2052=B2053),J2053,"")</f>
        <v>60258</v>
      </c>
      <c r="M134" s="2">
        <f>VLOOKUP(F2052,Sheet2!$A$2:$B$500,2,FALSE)</f>
        <v>243.13</v>
      </c>
    </row>
    <row r="135" ht="15.75" customHeight="1" spans="1:13">
      <c r="A135" s="5">
        <v>1534</v>
      </c>
      <c r="B135" s="5" t="s">
        <v>139</v>
      </c>
      <c r="C135" s="5" t="s">
        <v>148</v>
      </c>
      <c r="D135" s="5">
        <v>2</v>
      </c>
      <c r="E135" s="2">
        <f>IF(B2053=B2052,E2052+1,1)</f>
        <v>10</v>
      </c>
      <c r="F135" s="5" t="s">
        <v>117</v>
      </c>
      <c r="G135" s="5">
        <v>4</v>
      </c>
      <c r="H135" s="5" t="s">
        <v>149</v>
      </c>
      <c r="I135" s="5">
        <v>2</v>
      </c>
      <c r="J135" s="5">
        <v>60258</v>
      </c>
      <c r="K135" s="5">
        <v>60258</v>
      </c>
      <c r="L135" s="5">
        <f>IF(AND(H2053=C2054,B2053=B2054),J2054,"")</f>
        <v>60454</v>
      </c>
      <c r="M135" s="2">
        <f>VLOOKUP(F2053,Sheet2!$A$2:$B$500,2,FALSE)</f>
        <v>235.72</v>
      </c>
    </row>
    <row r="136" ht="15.75" customHeight="1" spans="1:13">
      <c r="A136" s="5">
        <v>1535</v>
      </c>
      <c r="B136" s="5" t="s">
        <v>139</v>
      </c>
      <c r="C136" s="5" t="s">
        <v>149</v>
      </c>
      <c r="D136" s="5">
        <v>2</v>
      </c>
      <c r="E136" s="2">
        <f>IF(B2054=B2053,E2053+1,1)</f>
        <v>11</v>
      </c>
      <c r="F136" s="5" t="s">
        <v>115</v>
      </c>
      <c r="G136" s="5">
        <v>3</v>
      </c>
      <c r="H136" s="5" t="s">
        <v>150</v>
      </c>
      <c r="I136" s="5">
        <v>2</v>
      </c>
      <c r="J136" s="5">
        <v>60454</v>
      </c>
      <c r="K136" s="5">
        <v>60454</v>
      </c>
      <c r="L136" s="5">
        <f>IF(AND(H2054=C2055,B2054=B2055),J2055,"")</f>
        <v>60700</v>
      </c>
      <c r="M136" s="2">
        <f>VLOOKUP(F2054,Sheet2!$A$2:$B$500,2,FALSE)</f>
        <v>230.82</v>
      </c>
    </row>
    <row r="137" ht="15.75" customHeight="1" spans="1:13">
      <c r="A137" s="5">
        <v>1536</v>
      </c>
      <c r="B137" s="5" t="s">
        <v>139</v>
      </c>
      <c r="C137" s="5" t="s">
        <v>150</v>
      </c>
      <c r="D137" s="5">
        <v>2</v>
      </c>
      <c r="E137" s="2">
        <f>IF(B2055=B2054,E2054+1,1)</f>
        <v>12</v>
      </c>
      <c r="F137" s="5" t="s">
        <v>113</v>
      </c>
      <c r="G137" s="5">
        <v>1</v>
      </c>
      <c r="H137" s="5" t="s">
        <v>151</v>
      </c>
      <c r="I137" s="5">
        <v>2</v>
      </c>
      <c r="J137" s="5">
        <v>60700</v>
      </c>
      <c r="K137" s="5">
        <v>60700</v>
      </c>
      <c r="L137" s="5">
        <f>IF(AND(H2055=C2056,B2055=B2056),J2056,"")</f>
        <v>61090</v>
      </c>
      <c r="M137" s="2">
        <f>VLOOKUP(F2055,Sheet2!$A$2:$B$500,2,FALSE)</f>
        <v>223.82</v>
      </c>
    </row>
    <row r="138" ht="15.75" customHeight="1" spans="1:13">
      <c r="A138" s="5">
        <v>1537</v>
      </c>
      <c r="B138" s="5" t="s">
        <v>139</v>
      </c>
      <c r="C138" s="5" t="s">
        <v>151</v>
      </c>
      <c r="D138" s="5">
        <v>2</v>
      </c>
      <c r="E138" s="2">
        <f>IF(B2056=B2055,E2055+1,1)</f>
        <v>13</v>
      </c>
      <c r="F138" s="5" t="s">
        <v>111</v>
      </c>
      <c r="G138" s="5">
        <v>1</v>
      </c>
      <c r="H138" s="5" t="s">
        <v>152</v>
      </c>
      <c r="I138" s="5">
        <v>2</v>
      </c>
      <c r="J138" s="5">
        <v>61090</v>
      </c>
      <c r="K138" s="5">
        <v>61210</v>
      </c>
      <c r="L138" s="5">
        <f>IF(AND(H2056=C2057,B2056=B2057),J2057,"")</f>
        <v>61450</v>
      </c>
      <c r="M138" s="2">
        <f>VLOOKUP(F2056,Sheet2!$A$2:$B$500,2,FALSE)</f>
        <v>213.87</v>
      </c>
    </row>
    <row r="139" ht="15.75" customHeight="1" spans="1:13">
      <c r="A139" s="5">
        <v>1538</v>
      </c>
      <c r="B139" s="5" t="s">
        <v>139</v>
      </c>
      <c r="C139" s="5" t="s">
        <v>152</v>
      </c>
      <c r="D139" s="5">
        <v>2</v>
      </c>
      <c r="E139" s="2">
        <f>IF(B2057=B2056,E2056+1,1)</f>
        <v>14</v>
      </c>
      <c r="F139" s="5" t="s">
        <v>109</v>
      </c>
      <c r="G139" s="5">
        <v>2</v>
      </c>
      <c r="H139" s="5" t="s">
        <v>153</v>
      </c>
      <c r="I139" s="5">
        <v>2</v>
      </c>
      <c r="J139" s="5">
        <v>61450</v>
      </c>
      <c r="K139" s="5">
        <v>61450</v>
      </c>
      <c r="L139" s="5">
        <f>IF(AND(H2057=C2058,B2057=B2058),J2058,"")</f>
        <v>61684</v>
      </c>
      <c r="M139" s="2">
        <f>VLOOKUP(F2057,Sheet2!$A$2:$B$500,2,FALSE)</f>
        <v>207.45</v>
      </c>
    </row>
    <row r="140" ht="15.75" customHeight="1" spans="1:13">
      <c r="A140" s="5">
        <v>1539</v>
      </c>
      <c r="B140" s="5" t="s">
        <v>139</v>
      </c>
      <c r="C140" s="5" t="s">
        <v>153</v>
      </c>
      <c r="D140" s="5">
        <v>2</v>
      </c>
      <c r="E140" s="2">
        <f>IF(B2058=B2057,E2057+1,1)</f>
        <v>15</v>
      </c>
      <c r="F140" s="5" t="s">
        <v>107</v>
      </c>
      <c r="G140" s="5">
        <v>4</v>
      </c>
      <c r="H140" s="5" t="s">
        <v>154</v>
      </c>
      <c r="I140" s="5">
        <v>2</v>
      </c>
      <c r="J140" s="5">
        <v>61684</v>
      </c>
      <c r="K140" s="5">
        <v>61684</v>
      </c>
      <c r="L140" s="5">
        <f>IF(AND(H2058=C2059,B2058=B2059),J2059,"")</f>
        <v>62042</v>
      </c>
      <c r="M140" s="2">
        <f>VLOOKUP(F2058,Sheet2!$A$2:$B$500,2,FALSE)</f>
        <v>201.81</v>
      </c>
    </row>
    <row r="141" ht="15.75" customHeight="1" spans="1:13">
      <c r="A141" s="5">
        <v>1540</v>
      </c>
      <c r="B141" s="5" t="s">
        <v>139</v>
      </c>
      <c r="C141" s="5" t="s">
        <v>154</v>
      </c>
      <c r="D141" s="5">
        <v>2</v>
      </c>
      <c r="E141" s="2">
        <f>IF(B2059=B2058,E2058+1,1)</f>
        <v>16</v>
      </c>
      <c r="F141" s="5" t="s">
        <v>105</v>
      </c>
      <c r="G141" s="5">
        <v>3</v>
      </c>
      <c r="H141" s="5" t="s">
        <v>155</v>
      </c>
      <c r="I141" s="5">
        <v>2</v>
      </c>
      <c r="J141" s="5">
        <v>62042</v>
      </c>
      <c r="K141" s="5">
        <v>62042</v>
      </c>
      <c r="L141" s="5">
        <f>IF(AND(H2059=C2060,B2059=B2060),J2060,"")</f>
        <v>62432</v>
      </c>
      <c r="M141" s="2">
        <f>VLOOKUP(F2059,Sheet2!$A$2:$B$500,2,FALSE)</f>
        <v>192.45</v>
      </c>
    </row>
    <row r="142" ht="15.75" customHeight="1" spans="1:13">
      <c r="A142" s="5">
        <v>1541</v>
      </c>
      <c r="B142" s="5" t="s">
        <v>139</v>
      </c>
      <c r="C142" s="5" t="s">
        <v>155</v>
      </c>
      <c r="D142" s="5">
        <v>2</v>
      </c>
      <c r="E142" s="2">
        <f>IF(B2060=B2059,E2059+1,1)</f>
        <v>17</v>
      </c>
      <c r="F142" s="5" t="s">
        <v>103</v>
      </c>
      <c r="G142" s="5">
        <v>1</v>
      </c>
      <c r="H142" s="5" t="s">
        <v>156</v>
      </c>
      <c r="I142" s="5">
        <v>2</v>
      </c>
      <c r="J142" s="5">
        <v>62432</v>
      </c>
      <c r="K142" s="5">
        <v>62432</v>
      </c>
      <c r="L142" s="5">
        <f>IF(AND(H2060=C2061,B2060=B2061),J2061,"")</f>
        <v>62668</v>
      </c>
      <c r="M142" s="2">
        <f>VLOOKUP(F2060,Sheet2!$A$2:$B$500,2,FALSE)</f>
        <v>183.35</v>
      </c>
    </row>
    <row r="143" ht="15.75" customHeight="1" spans="1:13">
      <c r="A143" s="5">
        <v>1542</v>
      </c>
      <c r="B143" s="5" t="s">
        <v>139</v>
      </c>
      <c r="C143" s="5" t="s">
        <v>156</v>
      </c>
      <c r="D143" s="5">
        <v>2</v>
      </c>
      <c r="E143" s="2">
        <f>IF(B2061=B2060,E2060+1,1)</f>
        <v>18</v>
      </c>
      <c r="F143" s="5" t="s">
        <v>101</v>
      </c>
      <c r="G143" s="5">
        <v>2</v>
      </c>
      <c r="H143" s="5" t="s">
        <v>157</v>
      </c>
      <c r="I143" s="5">
        <v>2</v>
      </c>
      <c r="J143" s="5">
        <v>62668</v>
      </c>
      <c r="K143" s="5">
        <v>62668</v>
      </c>
      <c r="L143" s="5">
        <f>IF(AND(H2061=C2062,B2061=B2062),J2062,"")</f>
        <v>62950</v>
      </c>
      <c r="M143" s="2">
        <f>VLOOKUP(F2061,Sheet2!$A$2:$B$500,2,FALSE)</f>
        <v>177.34</v>
      </c>
    </row>
    <row r="144" ht="15.75" customHeight="1" spans="1:13">
      <c r="A144" s="5">
        <v>1543</v>
      </c>
      <c r="B144" s="5" t="s">
        <v>139</v>
      </c>
      <c r="C144" s="5" t="s">
        <v>157</v>
      </c>
      <c r="D144" s="5">
        <v>2</v>
      </c>
      <c r="E144" s="2">
        <f>IF(B2062=B2061,E2061+1,1)</f>
        <v>19</v>
      </c>
      <c r="F144" s="5" t="s">
        <v>99</v>
      </c>
      <c r="G144" s="5">
        <v>1</v>
      </c>
      <c r="H144" s="5" t="s">
        <v>158</v>
      </c>
      <c r="I144" s="5">
        <v>2</v>
      </c>
      <c r="J144" s="5">
        <v>62950</v>
      </c>
      <c r="K144" s="5">
        <v>62950</v>
      </c>
      <c r="L144" s="5">
        <f>IF(AND(H2062=C2063,B2062=B2063),J2063,"")</f>
        <v>63310</v>
      </c>
      <c r="M144" s="2">
        <f>VLOOKUP(F2062,Sheet2!$A$2:$B$500,2,FALSE)</f>
        <v>169.73</v>
      </c>
    </row>
    <row r="145" ht="15.75" customHeight="1" spans="1:13">
      <c r="A145" s="5">
        <v>1544</v>
      </c>
      <c r="B145" s="5" t="s">
        <v>139</v>
      </c>
      <c r="C145" s="5" t="s">
        <v>158</v>
      </c>
      <c r="D145" s="5">
        <v>2</v>
      </c>
      <c r="E145" s="2">
        <f>IF(B2063=B2062,E2062+1,1)</f>
        <v>20</v>
      </c>
      <c r="F145" s="5" t="s">
        <v>97</v>
      </c>
      <c r="G145" s="5">
        <v>2</v>
      </c>
      <c r="H145" s="5" t="s">
        <v>159</v>
      </c>
      <c r="I145" s="5">
        <v>2</v>
      </c>
      <c r="J145" s="5">
        <v>63310</v>
      </c>
      <c r="K145" s="5">
        <v>63310</v>
      </c>
      <c r="L145" s="5">
        <f>IF(AND(H2063=C2064,B2063=B2064),J2064,"")</f>
        <v>63588</v>
      </c>
      <c r="M145" s="2">
        <f>VLOOKUP(F2063,Sheet2!$A$2:$B$500,2,FALSE)</f>
        <v>161.42</v>
      </c>
    </row>
    <row r="146" ht="15.75" customHeight="1" spans="1:13">
      <c r="A146" s="5">
        <v>1545</v>
      </c>
      <c r="B146" s="5" t="s">
        <v>139</v>
      </c>
      <c r="C146" s="5" t="s">
        <v>159</v>
      </c>
      <c r="D146" s="5">
        <v>2</v>
      </c>
      <c r="E146" s="2">
        <f>IF(B2064=B2063,E2063+1,1)</f>
        <v>21</v>
      </c>
      <c r="F146" s="5" t="s">
        <v>95</v>
      </c>
      <c r="G146" s="5">
        <v>1</v>
      </c>
      <c r="H146" s="5" t="s">
        <v>160</v>
      </c>
      <c r="I146" s="5">
        <v>2</v>
      </c>
      <c r="J146" s="5">
        <v>63588</v>
      </c>
      <c r="K146" s="5">
        <v>63708</v>
      </c>
      <c r="L146" s="5">
        <f>IF(AND(H2064=C2065,B2064=B2065),J2065,"")</f>
        <v>64030</v>
      </c>
      <c r="M146" s="2">
        <f>VLOOKUP(F2064,Sheet2!$A$2:$B$500,2,FALSE)</f>
        <v>154.14</v>
      </c>
    </row>
    <row r="147" ht="15.75" customHeight="1" spans="1:13">
      <c r="A147" s="5">
        <v>1546</v>
      </c>
      <c r="B147" s="5" t="s">
        <v>139</v>
      </c>
      <c r="C147" s="5" t="s">
        <v>160</v>
      </c>
      <c r="D147" s="5">
        <v>2</v>
      </c>
      <c r="E147" s="2">
        <f>IF(B2065=B2064,E2064+1,1)</f>
        <v>22</v>
      </c>
      <c r="F147" s="5" t="s">
        <v>93</v>
      </c>
      <c r="G147" s="5">
        <v>2</v>
      </c>
      <c r="H147" s="5" t="s">
        <v>161</v>
      </c>
      <c r="I147" s="5">
        <v>2</v>
      </c>
      <c r="J147" s="5">
        <v>64030</v>
      </c>
      <c r="K147" s="5">
        <v>64030</v>
      </c>
      <c r="L147" s="5">
        <f>IF(AND(H2065=C2066,B2065=B2066),J2066,"")</f>
        <v>64330</v>
      </c>
      <c r="M147" s="2">
        <f>VLOOKUP(F2065,Sheet2!$A$2:$B$500,2,FALSE)</f>
        <v>145.57</v>
      </c>
    </row>
    <row r="148" ht="15.75" customHeight="1" spans="1:13">
      <c r="A148" s="5">
        <v>1547</v>
      </c>
      <c r="B148" s="5" t="s">
        <v>139</v>
      </c>
      <c r="C148" s="5" t="s">
        <v>161</v>
      </c>
      <c r="D148" s="5">
        <v>2</v>
      </c>
      <c r="E148" s="2">
        <f>IF(B2066=B2065,E2065+1,1)</f>
        <v>23</v>
      </c>
      <c r="F148" s="5" t="s">
        <v>91</v>
      </c>
      <c r="G148" s="5">
        <v>4</v>
      </c>
      <c r="H148" s="5" t="s">
        <v>162</v>
      </c>
      <c r="I148" s="5">
        <v>2</v>
      </c>
      <c r="J148" s="5">
        <v>64330</v>
      </c>
      <c r="K148" s="5">
        <v>64330</v>
      </c>
      <c r="L148" s="5">
        <f>IF(AND(H2066=C2067,B2066=B2067),J2067,"")</f>
        <v>64614</v>
      </c>
      <c r="M148" s="2">
        <f>VLOOKUP(F2066,Sheet2!$A$2:$B$500,2,FALSE)</f>
        <v>138.81</v>
      </c>
    </row>
    <row r="149" ht="15.75" customHeight="1" spans="1:13">
      <c r="A149" s="5">
        <v>1548</v>
      </c>
      <c r="B149" s="5" t="s">
        <v>139</v>
      </c>
      <c r="C149" s="5" t="s">
        <v>162</v>
      </c>
      <c r="D149" s="5">
        <v>2</v>
      </c>
      <c r="E149" s="2">
        <f>IF(B2067=B2066,E2066+1,1)</f>
        <v>24</v>
      </c>
      <c r="F149" s="5" t="s">
        <v>89</v>
      </c>
      <c r="G149" s="5">
        <v>2</v>
      </c>
      <c r="H149" s="5" t="s">
        <v>163</v>
      </c>
      <c r="I149" s="5">
        <v>2</v>
      </c>
      <c r="J149" s="5">
        <v>64614</v>
      </c>
      <c r="K149" s="5">
        <v>64614</v>
      </c>
      <c r="L149" s="5">
        <f>IF(AND(H2067=C2068,B2067=B2068),J2068,"")</f>
        <v>64946</v>
      </c>
      <c r="M149" s="2">
        <f>VLOOKUP(F2067,Sheet2!$A$2:$B$500,2,FALSE)</f>
        <v>130.91</v>
      </c>
    </row>
    <row r="150" ht="15.75" customHeight="1" spans="1:13">
      <c r="A150" s="5">
        <v>1549</v>
      </c>
      <c r="B150" s="5" t="s">
        <v>139</v>
      </c>
      <c r="C150" s="5" t="s">
        <v>163</v>
      </c>
      <c r="D150" s="5">
        <v>2</v>
      </c>
      <c r="E150" s="2">
        <f>IF(B2068=B2067,E2067+1,1)</f>
        <v>25</v>
      </c>
      <c r="F150" s="5" t="s">
        <v>87</v>
      </c>
      <c r="G150" s="5">
        <v>1</v>
      </c>
      <c r="H150" s="5" t="s">
        <v>164</v>
      </c>
      <c r="I150" s="5">
        <v>2</v>
      </c>
      <c r="J150" s="5">
        <v>64946</v>
      </c>
      <c r="K150" s="5">
        <v>64946</v>
      </c>
      <c r="L150" s="5">
        <f>IF(AND(H2068=C2069,B2068=B2069),J2069,"")</f>
        <v>65114</v>
      </c>
      <c r="M150" s="2">
        <f>VLOOKUP(F2068,Sheet2!$A$2:$B$500,2,FALSE)</f>
        <v>124.31</v>
      </c>
    </row>
    <row r="151" ht="15.75" customHeight="1" spans="1:13">
      <c r="A151" s="5">
        <v>1550</v>
      </c>
      <c r="B151" s="5" t="s">
        <v>139</v>
      </c>
      <c r="C151" s="5" t="s">
        <v>164</v>
      </c>
      <c r="D151" s="5">
        <v>2</v>
      </c>
      <c r="E151" s="2">
        <f>IF(B2069=B2068,E2068+1,1)</f>
        <v>26</v>
      </c>
      <c r="F151" s="5" t="s">
        <v>85</v>
      </c>
      <c r="G151" s="5">
        <v>2</v>
      </c>
      <c r="H151" s="5" t="s">
        <v>165</v>
      </c>
      <c r="I151" s="5">
        <v>2</v>
      </c>
      <c r="J151" s="5">
        <v>65114</v>
      </c>
      <c r="K151" s="5">
        <v>65114</v>
      </c>
      <c r="L151" s="5">
        <f>IF(AND(H2069=C2070,B2069=B2070),J2070,"")</f>
        <v>65774</v>
      </c>
      <c r="M151" s="2">
        <f>VLOOKUP(F2069,Sheet2!$A$2:$B$500,2,FALSE)</f>
        <v>122.31</v>
      </c>
    </row>
    <row r="152" ht="15.75" customHeight="1" spans="1:13">
      <c r="A152" s="5">
        <v>1551</v>
      </c>
      <c r="B152" s="5" t="s">
        <v>139</v>
      </c>
      <c r="C152" s="5" t="s">
        <v>165</v>
      </c>
      <c r="D152" s="5">
        <v>2</v>
      </c>
      <c r="E152" s="2">
        <f>IF(B2070=B2069,E2069+1,1)</f>
        <v>27</v>
      </c>
      <c r="F152" s="5" t="s">
        <v>83</v>
      </c>
      <c r="G152" s="5">
        <v>4</v>
      </c>
      <c r="H152" s="5" t="s">
        <v>166</v>
      </c>
      <c r="I152" s="5">
        <v>2</v>
      </c>
      <c r="J152" s="5">
        <v>65774</v>
      </c>
      <c r="K152" s="5">
        <v>65894</v>
      </c>
      <c r="L152" s="5">
        <f>IF(AND(H2070=C2071,B2070=B2071),J2071,"")</f>
        <v>66202</v>
      </c>
      <c r="M152" s="2">
        <f>VLOOKUP(F2070,Sheet2!$A$2:$B$500,2,FALSE)</f>
        <v>116.01</v>
      </c>
    </row>
    <row r="153" ht="15.75" customHeight="1" spans="1:13">
      <c r="A153" s="5">
        <v>1552</v>
      </c>
      <c r="B153" s="5" t="s">
        <v>139</v>
      </c>
      <c r="C153" s="5" t="s">
        <v>166</v>
      </c>
      <c r="D153" s="5">
        <v>2</v>
      </c>
      <c r="E153" s="2">
        <f>IF(B2071=B2070,E2070+1,1)</f>
        <v>28</v>
      </c>
      <c r="F153" s="5" t="s">
        <v>81</v>
      </c>
      <c r="G153" s="5">
        <v>3</v>
      </c>
      <c r="H153" s="5" t="s">
        <v>167</v>
      </c>
      <c r="I153" s="5">
        <v>2</v>
      </c>
      <c r="J153" s="5">
        <v>66202</v>
      </c>
      <c r="K153" s="5">
        <v>66202</v>
      </c>
      <c r="L153" s="5">
        <f>IF(AND(H2071=C2072,B2071=B2072),J2072,"")</f>
        <v>66406</v>
      </c>
      <c r="M153" s="2">
        <f>VLOOKUP(F2071,Sheet2!$A$2:$B$500,2,FALSE)</f>
        <v>108.81</v>
      </c>
    </row>
    <row r="154" ht="15.75" customHeight="1" spans="1:13">
      <c r="A154" s="5">
        <v>1553</v>
      </c>
      <c r="B154" s="5" t="s">
        <v>139</v>
      </c>
      <c r="C154" s="5" t="s">
        <v>167</v>
      </c>
      <c r="D154" s="5">
        <v>2</v>
      </c>
      <c r="E154" s="2">
        <f>IF(B2072=B2071,E2071+1,1)</f>
        <v>29</v>
      </c>
      <c r="F154" s="5" t="s">
        <v>79</v>
      </c>
      <c r="G154" s="5">
        <v>5</v>
      </c>
      <c r="H154" s="5" t="s">
        <v>168</v>
      </c>
      <c r="I154" s="5">
        <v>3</v>
      </c>
      <c r="J154" s="5">
        <v>66406</v>
      </c>
      <c r="K154" s="5">
        <v>66406</v>
      </c>
      <c r="L154" s="5">
        <f>IF(AND(H2072=C2073,B2072=B2073),J2073,"")</f>
        <v>66612</v>
      </c>
      <c r="M154" s="2">
        <f>VLOOKUP(F2072,Sheet2!$A$2:$B$500,2,FALSE)</f>
        <v>103.11</v>
      </c>
    </row>
    <row r="155" ht="15.75" customHeight="1" spans="1:13">
      <c r="A155" s="5">
        <v>1554</v>
      </c>
      <c r="B155" s="5" t="s">
        <v>139</v>
      </c>
      <c r="C155" s="5" t="s">
        <v>168</v>
      </c>
      <c r="D155" s="5">
        <v>3</v>
      </c>
      <c r="E155" s="2">
        <f>IF(B2073=B2072,E2072+1,1)</f>
        <v>30</v>
      </c>
      <c r="F155" s="5" t="s">
        <v>77</v>
      </c>
      <c r="G155" s="5">
        <v>3</v>
      </c>
      <c r="H155" s="5" t="s">
        <v>169</v>
      </c>
      <c r="I155" s="5">
        <v>2</v>
      </c>
      <c r="J155" s="5">
        <v>66612</v>
      </c>
      <c r="K155" s="5">
        <v>66612</v>
      </c>
      <c r="L155" s="5">
        <f>IF(AND(H2073=C2074,B2073=B2074),J2074,"")</f>
        <v>66882</v>
      </c>
      <c r="M155" s="2">
        <f>VLOOKUP(F2073,Sheet2!$A$2:$B$500,2,FALSE)</f>
        <v>97.09</v>
      </c>
    </row>
    <row r="156" ht="15.75" customHeight="1" spans="1:13">
      <c r="A156" s="5">
        <v>1555</v>
      </c>
      <c r="B156" s="5" t="s">
        <v>139</v>
      </c>
      <c r="C156" s="5" t="s">
        <v>169</v>
      </c>
      <c r="D156" s="5">
        <v>2</v>
      </c>
      <c r="E156" s="2">
        <f>IF(B2074=B2073,E2073+1,1)</f>
        <v>31</v>
      </c>
      <c r="F156" s="5" t="s">
        <v>75</v>
      </c>
      <c r="G156" s="5">
        <v>5</v>
      </c>
      <c r="H156" s="5" t="s">
        <v>170</v>
      </c>
      <c r="I156" s="5">
        <v>3</v>
      </c>
      <c r="J156" s="5">
        <v>66882</v>
      </c>
      <c r="K156" s="5">
        <v>66882</v>
      </c>
      <c r="L156" s="5">
        <f>IF(AND(H2074=C2075,B2074=B2075),J2075,"")</f>
        <v>67002</v>
      </c>
      <c r="M156" s="2">
        <f>VLOOKUP(F2074,Sheet2!$A$2:$B$500,2,FALSE)</f>
        <v>91.19</v>
      </c>
    </row>
    <row r="157" ht="15.75" customHeight="1" spans="1:13">
      <c r="A157" s="5">
        <v>1556</v>
      </c>
      <c r="B157" s="5" t="s">
        <v>139</v>
      </c>
      <c r="C157" s="5" t="s">
        <v>170</v>
      </c>
      <c r="D157" s="5">
        <v>3</v>
      </c>
      <c r="E157" s="2">
        <f>IF(B2075=B2074,E2074+1,1)</f>
        <v>32</v>
      </c>
      <c r="F157" s="5" t="s">
        <v>73</v>
      </c>
      <c r="G157" s="5">
        <v>3</v>
      </c>
      <c r="H157" s="5" t="s">
        <v>171</v>
      </c>
      <c r="I157" s="5">
        <v>3</v>
      </c>
      <c r="J157" s="5">
        <v>67002</v>
      </c>
      <c r="K157" s="5">
        <v>67002</v>
      </c>
      <c r="L157" s="5">
        <f>IF(AND(H2075=C2076,B2075=B2076),J2076,"")</f>
        <v>67124</v>
      </c>
      <c r="M157" s="2">
        <f>VLOOKUP(F2075,Sheet2!$A$2:$B$500,2,FALSE)</f>
        <v>87.97</v>
      </c>
    </row>
    <row r="158" ht="15.75" customHeight="1" spans="1:13">
      <c r="A158" s="5">
        <v>1557</v>
      </c>
      <c r="B158" s="5" t="s">
        <v>139</v>
      </c>
      <c r="C158" s="5" t="s">
        <v>171</v>
      </c>
      <c r="D158" s="5">
        <v>3</v>
      </c>
      <c r="E158" s="2">
        <f>IF(B2076=B2075,E2075+1,1)</f>
        <v>33</v>
      </c>
      <c r="F158" s="5" t="s">
        <v>71</v>
      </c>
      <c r="G158" s="5">
        <v>3</v>
      </c>
      <c r="H158" s="5" t="s">
        <v>172</v>
      </c>
      <c r="I158" s="5">
        <v>3</v>
      </c>
      <c r="J158" s="5">
        <v>67124</v>
      </c>
      <c r="K158" s="5">
        <v>67124</v>
      </c>
      <c r="L158" s="5">
        <f>IF(AND(H2076=C2077,B2076=B2077),J2077,"")</f>
        <v>67282</v>
      </c>
      <c r="M158" s="2">
        <f>VLOOKUP(F2076,Sheet2!$A$2:$B$500,2,FALSE)</f>
        <v>84.62</v>
      </c>
    </row>
    <row r="159" ht="15.75" customHeight="1" spans="1:13">
      <c r="A159" s="5">
        <v>1558</v>
      </c>
      <c r="B159" s="5" t="s">
        <v>139</v>
      </c>
      <c r="C159" s="5" t="s">
        <v>172</v>
      </c>
      <c r="D159" s="5">
        <v>3</v>
      </c>
      <c r="E159" s="2">
        <f>IF(B2077=B2076,E2076+1,1)</f>
        <v>34</v>
      </c>
      <c r="F159" s="5" t="s">
        <v>69</v>
      </c>
      <c r="G159" s="5">
        <v>3</v>
      </c>
      <c r="H159" s="5" t="s">
        <v>173</v>
      </c>
      <c r="I159" s="5">
        <v>2</v>
      </c>
      <c r="J159" s="5">
        <v>67282</v>
      </c>
      <c r="K159" s="5">
        <v>67282</v>
      </c>
      <c r="L159" s="5">
        <f>IF(AND(H2077=C2078,B2077=B2078),J2078,"")</f>
        <v>67442</v>
      </c>
      <c r="M159" s="2">
        <f>VLOOKUP(F2077,Sheet2!$A$2:$B$500,2,FALSE)</f>
        <v>80.62</v>
      </c>
    </row>
    <row r="160" ht="15.75" customHeight="1" spans="1:13">
      <c r="A160" s="5">
        <v>1559</v>
      </c>
      <c r="B160" s="5" t="s">
        <v>139</v>
      </c>
      <c r="C160" s="5" t="s">
        <v>173</v>
      </c>
      <c r="D160" s="5">
        <v>2</v>
      </c>
      <c r="E160" s="2">
        <f>IF(B2078=B2077,E2077+1,1)</f>
        <v>35</v>
      </c>
      <c r="F160" s="5" t="s">
        <v>67</v>
      </c>
      <c r="G160" s="5">
        <v>2</v>
      </c>
      <c r="H160" s="5" t="s">
        <v>174</v>
      </c>
      <c r="I160" s="5">
        <v>2</v>
      </c>
      <c r="J160" s="5">
        <v>67442</v>
      </c>
      <c r="K160" s="5">
        <v>67442</v>
      </c>
      <c r="L160" s="5">
        <f>IF(AND(H2078=C2079,B2078=B2079),J2079,"")</f>
        <v>67670</v>
      </c>
      <c r="M160" s="2">
        <f>VLOOKUP(F2078,Sheet2!$A$2:$B$500,2,FALSE)</f>
        <v>76.26</v>
      </c>
    </row>
    <row r="161" ht="15.75" customHeight="1" spans="1:13">
      <c r="A161" s="5">
        <v>1560</v>
      </c>
      <c r="B161" s="5" t="s">
        <v>139</v>
      </c>
      <c r="C161" s="5" t="s">
        <v>174</v>
      </c>
      <c r="D161" s="5">
        <v>2</v>
      </c>
      <c r="E161" s="2">
        <f>IF(B2079=B2078,E2078+1,1)</f>
        <v>36</v>
      </c>
      <c r="F161" s="5" t="s">
        <v>65</v>
      </c>
      <c r="G161" s="5">
        <v>3</v>
      </c>
      <c r="H161" s="5" t="s">
        <v>175</v>
      </c>
      <c r="I161" s="5">
        <v>3</v>
      </c>
      <c r="J161" s="5">
        <v>67670</v>
      </c>
      <c r="K161" s="5">
        <v>67670</v>
      </c>
      <c r="L161" s="5">
        <f>IF(AND(H2079=C2080,B2079=B2080),J2080,"")</f>
        <v>67724</v>
      </c>
      <c r="M161" s="2">
        <f>VLOOKUP(F2079,Sheet2!$A$2:$B$500,2,FALSE)</f>
        <v>71.26</v>
      </c>
    </row>
    <row r="162" ht="15.75" customHeight="1" spans="1:13">
      <c r="A162" s="5">
        <v>1561</v>
      </c>
      <c r="B162" s="5" t="s">
        <v>139</v>
      </c>
      <c r="C162" s="5" t="s">
        <v>175</v>
      </c>
      <c r="D162" s="5">
        <v>3</v>
      </c>
      <c r="E162" s="2">
        <f>IF(B2080=B2079,E2079+1,1)</f>
        <v>37</v>
      </c>
      <c r="F162" s="5" t="s">
        <v>63</v>
      </c>
      <c r="G162" s="5">
        <v>5</v>
      </c>
      <c r="H162" s="5" t="s">
        <v>176</v>
      </c>
      <c r="I162" s="5">
        <v>3</v>
      </c>
      <c r="J162" s="5">
        <v>67724</v>
      </c>
      <c r="K162" s="5">
        <v>67724</v>
      </c>
      <c r="L162" s="5">
        <f>IF(AND(H2080=C2081,B2080=B2081),J2081,"")</f>
        <v>67794</v>
      </c>
      <c r="M162" s="2">
        <f>VLOOKUP(F2080,Sheet2!$A$2:$B$500,2,FALSE)</f>
        <v>68.59</v>
      </c>
    </row>
    <row r="163" ht="15.75" customHeight="1" spans="1:13">
      <c r="A163" s="5">
        <v>1562</v>
      </c>
      <c r="B163" s="5" t="s">
        <v>139</v>
      </c>
      <c r="C163" s="5" t="s">
        <v>176</v>
      </c>
      <c r="D163" s="5">
        <v>3</v>
      </c>
      <c r="E163" s="2">
        <f>IF(B2081=B2080,E2080+1,1)</f>
        <v>38</v>
      </c>
      <c r="F163" s="5" t="s">
        <v>61</v>
      </c>
      <c r="G163" s="5">
        <v>3</v>
      </c>
      <c r="H163" s="5" t="s">
        <v>177</v>
      </c>
      <c r="I163" s="5">
        <v>3</v>
      </c>
      <c r="J163" s="5">
        <v>67794</v>
      </c>
      <c r="K163" s="5">
        <v>67794</v>
      </c>
      <c r="L163" s="5">
        <f>IF(AND(H2081=C2082,B2081=B2082),J2082,"")</f>
        <v>68094</v>
      </c>
      <c r="M163" s="2">
        <f>VLOOKUP(F2081,Sheet2!$A$2:$B$500,2,FALSE)</f>
        <v>67.39</v>
      </c>
    </row>
    <row r="164" ht="15.75" customHeight="1" spans="1:13">
      <c r="A164" s="5">
        <v>1563</v>
      </c>
      <c r="B164" s="5" t="s">
        <v>139</v>
      </c>
      <c r="C164" s="5" t="s">
        <v>177</v>
      </c>
      <c r="D164" s="5">
        <v>3</v>
      </c>
      <c r="E164" s="2">
        <f>IF(B2082=B2081,E2081+1,1)</f>
        <v>39</v>
      </c>
      <c r="F164" s="5" t="s">
        <v>59</v>
      </c>
      <c r="G164" s="5">
        <v>3</v>
      </c>
      <c r="H164" s="5" t="s">
        <v>178</v>
      </c>
      <c r="I164" s="5">
        <v>3</v>
      </c>
      <c r="J164" s="5">
        <v>68094</v>
      </c>
      <c r="K164" s="5">
        <v>68094</v>
      </c>
      <c r="L164" s="5">
        <f>IF(AND(H2082=C2083,B2082=B2083),J2083,"")</f>
        <v>68178</v>
      </c>
      <c r="M164" s="2">
        <f>VLOOKUP(F2082,Sheet2!$A$2:$B$500,2,FALSE)</f>
        <v>63.75</v>
      </c>
    </row>
    <row r="165" ht="15.75" customHeight="1" spans="1:13">
      <c r="A165" s="5">
        <v>1564</v>
      </c>
      <c r="B165" s="5" t="s">
        <v>139</v>
      </c>
      <c r="C165" s="5" t="s">
        <v>178</v>
      </c>
      <c r="D165" s="5">
        <v>3</v>
      </c>
      <c r="E165" s="2">
        <f>IF(B2083=B2082,E2082+1,1)</f>
        <v>40</v>
      </c>
      <c r="F165" s="5" t="s">
        <v>57</v>
      </c>
      <c r="G165" s="5">
        <v>3</v>
      </c>
      <c r="H165" s="5" t="s">
        <v>179</v>
      </c>
      <c r="I165" s="5">
        <v>3</v>
      </c>
      <c r="J165" s="5">
        <v>68178</v>
      </c>
      <c r="K165" s="5">
        <v>68178</v>
      </c>
      <c r="L165" s="5">
        <f>IF(AND(H2083=C2084,B2083=B2084),J2084,"")</f>
        <v>68354</v>
      </c>
      <c r="M165" s="2">
        <f>VLOOKUP(F2083,Sheet2!$A$2:$B$500,2,FALSE)</f>
        <v>61.25</v>
      </c>
    </row>
    <row r="166" ht="15.75" customHeight="1" spans="1:13">
      <c r="A166" s="5">
        <v>1565</v>
      </c>
      <c r="B166" s="5" t="s">
        <v>139</v>
      </c>
      <c r="C166" s="5" t="s">
        <v>179</v>
      </c>
      <c r="D166" s="5">
        <v>3</v>
      </c>
      <c r="E166" s="2">
        <f>IF(B2084=B2083,E2083+1,1)</f>
        <v>41</v>
      </c>
      <c r="F166" s="5" t="s">
        <v>55</v>
      </c>
      <c r="G166" s="5">
        <v>3</v>
      </c>
      <c r="H166" s="5" t="s">
        <v>180</v>
      </c>
      <c r="I166" s="5">
        <v>2</v>
      </c>
      <c r="J166" s="5">
        <v>68354</v>
      </c>
      <c r="K166" s="5">
        <v>68354</v>
      </c>
      <c r="L166" s="5">
        <f>IF(AND(H2084=C2085,B2084=B2085),J2085,"")</f>
        <v>68536</v>
      </c>
      <c r="M166" s="2">
        <f>VLOOKUP(F2084,Sheet2!$A$2:$B$500,2,FALSE)</f>
        <v>58.45</v>
      </c>
    </row>
    <row r="167" ht="15.75" customHeight="1" spans="1:13">
      <c r="A167" s="5">
        <v>1566</v>
      </c>
      <c r="B167" s="5" t="s">
        <v>139</v>
      </c>
      <c r="C167" s="5" t="s">
        <v>180</v>
      </c>
      <c r="D167" s="5">
        <v>2</v>
      </c>
      <c r="E167" s="2">
        <f>IF(B2085=B2084,E2084+1,1)</f>
        <v>42</v>
      </c>
      <c r="F167" s="5" t="s">
        <v>53</v>
      </c>
      <c r="G167" s="5">
        <v>2</v>
      </c>
      <c r="H167" s="5" t="s">
        <v>181</v>
      </c>
      <c r="I167" s="5">
        <v>2</v>
      </c>
      <c r="J167" s="5">
        <v>68536</v>
      </c>
      <c r="K167" s="5">
        <v>68536</v>
      </c>
      <c r="L167" s="5">
        <f>IF(AND(H2085=C2086,B2085=B2086),J2086,"")</f>
        <v>68694</v>
      </c>
      <c r="M167" s="2">
        <f>VLOOKUP(F2085,Sheet2!$A$2:$B$500,2,FALSE)</f>
        <v>55.05</v>
      </c>
    </row>
    <row r="168" ht="15.75" customHeight="1" spans="1:13">
      <c r="A168" s="5">
        <v>1567</v>
      </c>
      <c r="B168" s="5" t="s">
        <v>139</v>
      </c>
      <c r="C168" s="5" t="s">
        <v>181</v>
      </c>
      <c r="D168" s="5">
        <v>2</v>
      </c>
      <c r="E168" s="2">
        <f>IF(B2086=B2085,E2085+1,1)</f>
        <v>43</v>
      </c>
      <c r="F168" s="5" t="s">
        <v>51</v>
      </c>
      <c r="G168" s="5">
        <v>4</v>
      </c>
      <c r="H168" s="5" t="s">
        <v>182</v>
      </c>
      <c r="I168" s="5">
        <v>3</v>
      </c>
      <c r="J168" s="5">
        <v>68694</v>
      </c>
      <c r="K168" s="5">
        <v>68694</v>
      </c>
      <c r="L168" s="5">
        <f>IF(AND(H2086=C2087,B2086=B2087),J2087,"")</f>
        <v>68812</v>
      </c>
      <c r="M168" s="2">
        <f>VLOOKUP(F2086,Sheet2!$A$2:$B$500,2,FALSE)</f>
        <v>51.05</v>
      </c>
    </row>
    <row r="169" ht="15.75" customHeight="1" spans="1:13">
      <c r="A169" s="5">
        <v>1568</v>
      </c>
      <c r="B169" s="5" t="s">
        <v>139</v>
      </c>
      <c r="C169" s="5" t="s">
        <v>182</v>
      </c>
      <c r="D169" s="5">
        <v>3</v>
      </c>
      <c r="E169" s="2">
        <f>IF(B2087=B2086,E2086+1,1)</f>
        <v>44</v>
      </c>
      <c r="F169" s="5" t="s">
        <v>49</v>
      </c>
      <c r="G169" s="5">
        <v>3</v>
      </c>
      <c r="H169" s="5" t="s">
        <v>183</v>
      </c>
      <c r="I169" s="5">
        <v>3</v>
      </c>
      <c r="J169" s="5">
        <v>68812</v>
      </c>
      <c r="K169" s="5">
        <v>68812</v>
      </c>
      <c r="L169" s="5">
        <f>IF(AND(H2087=C2088,B2087=B2088),J2088,"")</f>
        <v>68896</v>
      </c>
      <c r="M169" s="2">
        <f>VLOOKUP(F2087,Sheet2!$A$2:$B$500,2,FALSE)</f>
        <v>47.94</v>
      </c>
    </row>
    <row r="170" ht="15.75" customHeight="1" spans="1:13">
      <c r="A170" s="5">
        <v>1569</v>
      </c>
      <c r="B170" s="5" t="s">
        <v>139</v>
      </c>
      <c r="C170" s="5" t="s">
        <v>183</v>
      </c>
      <c r="D170" s="5">
        <v>3</v>
      </c>
      <c r="E170" s="2">
        <f>IF(B2088=B2087,E2087+1,1)</f>
        <v>45</v>
      </c>
      <c r="F170" s="5" t="s">
        <v>47</v>
      </c>
      <c r="G170" s="5">
        <v>5</v>
      </c>
      <c r="H170" s="5" t="s">
        <v>184</v>
      </c>
      <c r="I170" s="5">
        <v>3</v>
      </c>
      <c r="J170" s="5">
        <v>68896</v>
      </c>
      <c r="K170" s="5">
        <v>68896</v>
      </c>
      <c r="L170" s="5">
        <f>IF(AND(H2088=C2089,B2088=B2089),J2089,"")</f>
        <v>69166</v>
      </c>
      <c r="M170" s="2">
        <f>VLOOKUP(F2088,Sheet2!$A$2:$B$500,2,FALSE)</f>
        <v>45.27</v>
      </c>
    </row>
    <row r="171" ht="15.75" customHeight="1" spans="1:13">
      <c r="A171" s="5">
        <v>1570</v>
      </c>
      <c r="B171" s="5" t="s">
        <v>139</v>
      </c>
      <c r="C171" s="5" t="s">
        <v>184</v>
      </c>
      <c r="D171" s="5">
        <v>3</v>
      </c>
      <c r="E171" s="2">
        <f>IF(B2089=B2088,E2088+1,1)</f>
        <v>46</v>
      </c>
      <c r="F171" s="5" t="s">
        <v>45</v>
      </c>
      <c r="G171" s="5">
        <v>3</v>
      </c>
      <c r="H171" s="5" t="s">
        <v>185</v>
      </c>
      <c r="I171" s="5">
        <v>3</v>
      </c>
      <c r="J171" s="5">
        <v>69166</v>
      </c>
      <c r="K171" s="5">
        <v>69166</v>
      </c>
      <c r="L171" s="5">
        <f>IF(AND(H2089=C2090,B2089=B2090),J2090,"")</f>
        <v>69318</v>
      </c>
      <c r="M171" s="2">
        <f>VLOOKUP(F2089,Sheet2!$A$2:$B$500,2,FALSE)</f>
        <v>39.85</v>
      </c>
    </row>
    <row r="172" ht="15.75" customHeight="1" spans="1:13">
      <c r="A172" s="5">
        <v>1571</v>
      </c>
      <c r="B172" s="5" t="s">
        <v>139</v>
      </c>
      <c r="C172" s="5" t="s">
        <v>185</v>
      </c>
      <c r="D172" s="5">
        <v>3</v>
      </c>
      <c r="E172" s="2">
        <f>IF(B2090=B2089,E2089+1,1)</f>
        <v>47</v>
      </c>
      <c r="F172" s="5" t="s">
        <v>43</v>
      </c>
      <c r="G172" s="5">
        <v>3</v>
      </c>
      <c r="H172" s="5" t="s">
        <v>186</v>
      </c>
      <c r="I172" s="5">
        <v>2</v>
      </c>
      <c r="J172" s="5">
        <v>69318</v>
      </c>
      <c r="K172" s="5">
        <v>69318</v>
      </c>
      <c r="L172" s="5">
        <f>IF(AND(H2090=C2091,B2090=B2091),J2091,"")</f>
        <v>69506</v>
      </c>
      <c r="M172" s="2">
        <f>VLOOKUP(F2090,Sheet2!$A$2:$B$500,2,FALSE)</f>
        <v>36.35</v>
      </c>
    </row>
    <row r="173" ht="15.75" customHeight="1" spans="1:13">
      <c r="A173" s="5">
        <v>1572</v>
      </c>
      <c r="B173" s="5" t="s">
        <v>139</v>
      </c>
      <c r="C173" s="5" t="s">
        <v>186</v>
      </c>
      <c r="D173" s="5">
        <v>2</v>
      </c>
      <c r="E173" s="2">
        <f>IF(B2091=B2090,E2090+1,1)</f>
        <v>48</v>
      </c>
      <c r="F173" s="5" t="s">
        <v>41</v>
      </c>
      <c r="G173" s="5">
        <v>1</v>
      </c>
      <c r="H173" s="5" t="s">
        <v>187</v>
      </c>
      <c r="I173" s="5">
        <v>2</v>
      </c>
      <c r="J173" s="5">
        <v>69506</v>
      </c>
      <c r="K173" s="5">
        <v>69506</v>
      </c>
      <c r="L173" s="5">
        <f>IF(AND(H2091=C2092,B2091=B2092),J2092,"")</f>
        <v>69648</v>
      </c>
      <c r="M173" s="2">
        <f>VLOOKUP(F2091,Sheet2!$A$2:$B$500,2,FALSE)</f>
        <v>32.24</v>
      </c>
    </row>
    <row r="174" ht="15.75" customHeight="1" spans="1:13">
      <c r="A174" s="5">
        <v>1573</v>
      </c>
      <c r="B174" s="5" t="s">
        <v>139</v>
      </c>
      <c r="C174" s="5" t="s">
        <v>187</v>
      </c>
      <c r="D174" s="5">
        <v>2</v>
      </c>
      <c r="E174" s="2">
        <f>IF(B2092=B2091,E2091+1,1)</f>
        <v>49</v>
      </c>
      <c r="F174" s="5" t="s">
        <v>39</v>
      </c>
      <c r="G174" s="5">
        <v>3</v>
      </c>
      <c r="H174" s="5" t="s">
        <v>188</v>
      </c>
      <c r="I174" s="5">
        <v>2</v>
      </c>
      <c r="J174" s="5">
        <v>69648</v>
      </c>
      <c r="K174" s="5">
        <v>69648</v>
      </c>
      <c r="L174" s="5">
        <f>IF(AND(H2092=C2093,B2092=B2093),J2093,"")</f>
        <v>69732</v>
      </c>
      <c r="M174" s="2">
        <f>VLOOKUP(F2092,Sheet2!$A$2:$B$500,2,FALSE)</f>
        <v>29.84</v>
      </c>
    </row>
    <row r="175" ht="15.75" customHeight="1" spans="1:13">
      <c r="A175" s="5">
        <v>1574</v>
      </c>
      <c r="B175" s="5" t="s">
        <v>139</v>
      </c>
      <c r="C175" s="5" t="s">
        <v>188</v>
      </c>
      <c r="D175" s="5">
        <v>2</v>
      </c>
      <c r="E175" s="2">
        <f>IF(B2093=B2092,E2092+1,1)</f>
        <v>50</v>
      </c>
      <c r="F175" s="5" t="s">
        <v>37</v>
      </c>
      <c r="G175" s="5">
        <v>3</v>
      </c>
      <c r="H175" s="5" t="s">
        <v>189</v>
      </c>
      <c r="I175" s="5">
        <v>2</v>
      </c>
      <c r="J175" s="5">
        <v>69732</v>
      </c>
      <c r="K175" s="5">
        <v>69732</v>
      </c>
      <c r="L175" s="5">
        <f>IF(AND(H2093=C2094,B2093=B2094),J2094,"")</f>
        <v>69852</v>
      </c>
      <c r="M175" s="2">
        <f>VLOOKUP(F2093,Sheet2!$A$2:$B$500,2,FALSE)</f>
        <v>27.24</v>
      </c>
    </row>
    <row r="176" ht="15.75" customHeight="1" spans="1:13">
      <c r="A176" s="5">
        <v>1575</v>
      </c>
      <c r="B176" s="5" t="s">
        <v>139</v>
      </c>
      <c r="C176" s="5" t="s">
        <v>189</v>
      </c>
      <c r="D176" s="5">
        <v>2</v>
      </c>
      <c r="E176" s="2">
        <f>IF(B2094=B2093,E2093+1,1)</f>
        <v>51</v>
      </c>
      <c r="F176" s="5" t="s">
        <v>35</v>
      </c>
      <c r="G176" s="5">
        <v>1</v>
      </c>
      <c r="H176" s="5" t="s">
        <v>190</v>
      </c>
      <c r="I176" s="5">
        <v>3</v>
      </c>
      <c r="J176" s="5">
        <v>69852</v>
      </c>
      <c r="K176" s="5">
        <v>69852</v>
      </c>
      <c r="L176" s="5">
        <f>IF(AND(H2094=C2095,B2094=B2095),J2095,"")</f>
        <v>70008</v>
      </c>
      <c r="M176" s="2">
        <f>VLOOKUP(F2094,Sheet2!$A$2:$B$500,2,FALSE)</f>
        <v>24.1</v>
      </c>
    </row>
    <row r="177" ht="15.75" customHeight="1" spans="1:13">
      <c r="A177" s="5">
        <v>1576</v>
      </c>
      <c r="B177" s="5" t="s">
        <v>139</v>
      </c>
      <c r="C177" s="5" t="s">
        <v>190</v>
      </c>
      <c r="D177" s="5">
        <v>3</v>
      </c>
      <c r="E177" s="2">
        <f>IF(B2095=B2094,E2094+1,1)</f>
        <v>52</v>
      </c>
      <c r="F177" s="5" t="s">
        <v>33</v>
      </c>
      <c r="G177" s="5">
        <v>3</v>
      </c>
      <c r="H177" s="5" t="s">
        <v>191</v>
      </c>
      <c r="I177" s="5">
        <v>2</v>
      </c>
      <c r="J177" s="5">
        <v>70008</v>
      </c>
      <c r="K177" s="5">
        <v>70008</v>
      </c>
      <c r="L177" s="5">
        <f>IF(AND(H2095=C2096,B2095=B2096),J2096,"")</f>
        <v>70248</v>
      </c>
      <c r="M177" s="2">
        <f>VLOOKUP(F2095,Sheet2!$A$2:$B$500,2,FALSE)</f>
        <v>20.2</v>
      </c>
    </row>
    <row r="178" ht="15.75" customHeight="1" spans="1:13">
      <c r="A178" s="5">
        <v>1577</v>
      </c>
      <c r="B178" s="5" t="s">
        <v>139</v>
      </c>
      <c r="C178" s="5" t="s">
        <v>191</v>
      </c>
      <c r="D178" s="5">
        <v>2</v>
      </c>
      <c r="E178" s="2">
        <f>IF(B2096=B2095,E2095+1,1)</f>
        <v>53</v>
      </c>
      <c r="F178" s="5" t="s">
        <v>31</v>
      </c>
      <c r="G178" s="5">
        <v>2</v>
      </c>
      <c r="H178" s="5" t="s">
        <v>192</v>
      </c>
      <c r="I178" s="5">
        <v>2</v>
      </c>
      <c r="J178" s="5">
        <v>70248</v>
      </c>
      <c r="K178" s="5">
        <v>70248</v>
      </c>
      <c r="L178" s="5">
        <f>IF(AND(H2096=C2097,B2096=B2097),J2097,"")</f>
        <v>70290</v>
      </c>
      <c r="M178" s="2">
        <f>VLOOKUP(F2096,Sheet2!$A$2:$B$500,2,FALSE)</f>
        <v>17.2</v>
      </c>
    </row>
    <row r="179" ht="15.75" customHeight="1" spans="1:13">
      <c r="A179" s="5">
        <v>1578</v>
      </c>
      <c r="B179" s="5" t="s">
        <v>139</v>
      </c>
      <c r="C179" s="5" t="s">
        <v>192</v>
      </c>
      <c r="D179" s="5">
        <v>2</v>
      </c>
      <c r="E179" s="2">
        <f>IF(B2097=B2096,E2096+1,1)</f>
        <v>54</v>
      </c>
      <c r="F179" s="5" t="s">
        <v>29</v>
      </c>
      <c r="G179" s="5">
        <v>3</v>
      </c>
      <c r="H179" s="5" t="s">
        <v>193</v>
      </c>
      <c r="I179" s="5">
        <v>2</v>
      </c>
      <c r="J179" s="5">
        <v>70290</v>
      </c>
      <c r="K179" s="5">
        <v>70290</v>
      </c>
      <c r="L179" s="5">
        <f>IF(AND(H2097=C2098,B2097=B2098),J2098,"")</f>
        <v>70444</v>
      </c>
      <c r="M179" s="2">
        <f>VLOOKUP(F2097,Sheet2!$A$2:$B$500,2,FALSE)</f>
        <v>15.9</v>
      </c>
    </row>
    <row r="180" ht="15.75" customHeight="1" spans="1:13">
      <c r="A180" s="5">
        <v>1579</v>
      </c>
      <c r="B180" s="5" t="s">
        <v>139</v>
      </c>
      <c r="C180" s="5" t="s">
        <v>193</v>
      </c>
      <c r="D180" s="5">
        <v>2</v>
      </c>
      <c r="E180" s="2">
        <f>IF(B2098=B2097,E2097+1,1)</f>
        <v>55</v>
      </c>
      <c r="F180" s="5" t="s">
        <v>27</v>
      </c>
      <c r="G180" s="5">
        <v>2</v>
      </c>
      <c r="H180" s="5" t="s">
        <v>194</v>
      </c>
      <c r="I180" s="5">
        <v>3</v>
      </c>
      <c r="J180" s="5">
        <v>70444</v>
      </c>
      <c r="K180" s="5">
        <v>70444</v>
      </c>
      <c r="L180" s="5">
        <f>IF(AND(H2098=C2099,B2098=B2099),J2099,"")</f>
        <v>70642</v>
      </c>
      <c r="M180" s="2">
        <f>VLOOKUP(F2098,Sheet2!$A$2:$B$500,2,FALSE)</f>
        <v>12.3</v>
      </c>
    </row>
    <row r="181" ht="15.75" customHeight="1" spans="1:13">
      <c r="A181" s="5">
        <v>1580</v>
      </c>
      <c r="B181" s="5" t="s">
        <v>139</v>
      </c>
      <c r="C181" s="5" t="s">
        <v>194</v>
      </c>
      <c r="D181" s="5">
        <v>3</v>
      </c>
      <c r="E181" s="2">
        <f>IF(B2099=B2098,E2098+1,1)</f>
        <v>56</v>
      </c>
      <c r="F181" s="5" t="s">
        <v>25</v>
      </c>
      <c r="G181" s="5">
        <v>3</v>
      </c>
      <c r="H181" s="5" t="s">
        <v>195</v>
      </c>
      <c r="I181" s="5">
        <v>3</v>
      </c>
      <c r="J181" s="5">
        <v>70642</v>
      </c>
      <c r="K181" s="5">
        <v>70642</v>
      </c>
      <c r="L181" s="5">
        <f>IF(AND(H2099=C2100,B2099=B2100),J2100,"")</f>
        <v>70758</v>
      </c>
      <c r="M181" s="2">
        <f>VLOOKUP(F2099,Sheet2!$A$2:$B$500,2,FALSE)</f>
        <v>10.3</v>
      </c>
    </row>
    <row r="182" ht="15.75" customHeight="1" spans="1:13">
      <c r="A182" s="5">
        <v>1581</v>
      </c>
      <c r="B182" s="5" t="s">
        <v>139</v>
      </c>
      <c r="C182" s="5" t="s">
        <v>195</v>
      </c>
      <c r="D182" s="5">
        <v>3</v>
      </c>
      <c r="E182" s="2">
        <f>IF(B2100=B2099,E2099+1,1)</f>
        <v>57</v>
      </c>
      <c r="F182" s="5" t="s">
        <v>23</v>
      </c>
      <c r="G182" s="5">
        <v>4</v>
      </c>
      <c r="H182" s="5" t="s">
        <v>196</v>
      </c>
      <c r="I182" s="5">
        <v>4</v>
      </c>
      <c r="J182" s="5">
        <v>70758</v>
      </c>
      <c r="K182" s="5">
        <v>70878</v>
      </c>
      <c r="L182" s="5">
        <f>IF(AND(H2100=C2101,B2100=B2101),J2101,"")</f>
        <v>71010</v>
      </c>
      <c r="M182" s="2">
        <f>VLOOKUP(F2100,Sheet2!$A$2:$B$500,2,FALSE)</f>
        <v>7.48</v>
      </c>
    </row>
    <row r="183" ht="15.75" customHeight="1" spans="1:13">
      <c r="A183" s="5">
        <v>1582</v>
      </c>
      <c r="B183" s="5" t="s">
        <v>139</v>
      </c>
      <c r="C183" s="5" t="s">
        <v>196</v>
      </c>
      <c r="D183" s="5">
        <v>4</v>
      </c>
      <c r="E183" s="2">
        <f>IF(B2101=B2100,E2100+1,1)</f>
        <v>58</v>
      </c>
      <c r="F183" s="5" t="s">
        <v>21</v>
      </c>
      <c r="G183" s="5">
        <v>4</v>
      </c>
      <c r="H183" s="5" t="s">
        <v>197</v>
      </c>
      <c r="I183" s="5">
        <v>4</v>
      </c>
      <c r="J183" s="5">
        <v>71010</v>
      </c>
      <c r="K183" s="5">
        <v>71010</v>
      </c>
      <c r="L183" s="5">
        <f>IF(AND(H2101=C2102,B2101=B2102),J2102,"")</f>
        <v>71114</v>
      </c>
      <c r="M183" s="2">
        <f>VLOOKUP(F2101,Sheet2!$A$2:$B$500,2,FALSE)</f>
        <v>6.08</v>
      </c>
    </row>
    <row r="184" ht="15.75" customHeight="1" spans="1:13">
      <c r="A184" s="5">
        <v>1583</v>
      </c>
      <c r="B184" s="5" t="s">
        <v>139</v>
      </c>
      <c r="C184" s="5" t="s">
        <v>197</v>
      </c>
      <c r="D184" s="5">
        <v>4</v>
      </c>
      <c r="E184" s="2">
        <f>IF(B2102=B2101,E2101+1,1)</f>
        <v>59</v>
      </c>
      <c r="F184" s="5" t="s">
        <v>19</v>
      </c>
      <c r="G184" s="5">
        <v>4</v>
      </c>
      <c r="H184" s="5" t="s">
        <v>198</v>
      </c>
      <c r="I184" s="5">
        <v>4</v>
      </c>
      <c r="J184" s="5">
        <v>71114</v>
      </c>
      <c r="K184" s="5">
        <v>71114</v>
      </c>
      <c r="L184" s="5">
        <f>IF(AND(H2102=C2103,B2102=B2103),J2103,"")</f>
        <v>71340</v>
      </c>
      <c r="M184" s="2">
        <f>VLOOKUP(F2102,Sheet2!$A$2:$B$500,2,FALSE)</f>
        <v>4.44</v>
      </c>
    </row>
    <row r="185" ht="15.75" customHeight="1" spans="1:13">
      <c r="A185" s="5">
        <v>1584</v>
      </c>
      <c r="B185" s="5" t="s">
        <v>139</v>
      </c>
      <c r="C185" s="5" t="s">
        <v>198</v>
      </c>
      <c r="D185" s="5">
        <v>4</v>
      </c>
      <c r="E185" s="2">
        <f>IF(B2103=B2102,E2102+1,1)</f>
        <v>60</v>
      </c>
      <c r="F185" s="5" t="s">
        <v>17</v>
      </c>
      <c r="G185" s="5">
        <v>4</v>
      </c>
      <c r="H185" s="5" t="s">
        <v>199</v>
      </c>
      <c r="I185" s="5">
        <v>3</v>
      </c>
      <c r="J185" s="5">
        <v>71340</v>
      </c>
      <c r="K185" s="5">
        <v>71340</v>
      </c>
      <c r="L185" s="5">
        <f>IF(AND(H2103=C2104,B2103=B2104),J2104,"")</f>
        <v>72174</v>
      </c>
      <c r="M185" s="2">
        <f>VLOOKUP(F2103,Sheet2!$A$2:$B$500,2,FALSE)</f>
        <v>2.7</v>
      </c>
    </row>
    <row r="186" ht="15.75" customHeight="1" spans="1:13">
      <c r="A186" s="5">
        <v>1585</v>
      </c>
      <c r="B186" s="5" t="s">
        <v>139</v>
      </c>
      <c r="C186" s="5" t="s">
        <v>199</v>
      </c>
      <c r="D186" s="5">
        <v>3</v>
      </c>
      <c r="E186" s="2">
        <f>IF(B2104=B2103,E2103+1,1)</f>
        <v>61</v>
      </c>
      <c r="F186" s="5" t="s">
        <v>15</v>
      </c>
      <c r="G186" s="5">
        <v>7</v>
      </c>
      <c r="H186" s="5"/>
      <c r="I186" s="5"/>
      <c r="J186" s="5">
        <v>72174</v>
      </c>
      <c r="K186" s="5">
        <v>72174</v>
      </c>
      <c r="L186" s="5" t="str">
        <f>IF(AND(H2104=C2105,B2104=B2105),J2105,"")</f>
        <v/>
      </c>
      <c r="M186" s="2">
        <f>VLOOKUP(F2104,Sheet2!$A$2:$B$500,2,FALSE)</f>
        <v>0</v>
      </c>
    </row>
    <row r="187" ht="15.75" customHeight="1" spans="1:13">
      <c r="A187" s="5">
        <v>5481</v>
      </c>
      <c r="B187" s="5" t="s">
        <v>200</v>
      </c>
      <c r="C187" s="5" t="s">
        <v>14</v>
      </c>
      <c r="D187" s="5" t="s">
        <v>14</v>
      </c>
      <c r="E187" s="2">
        <f>IF(B2105=B2104,E2104+1,1)</f>
        <v>1</v>
      </c>
      <c r="F187" s="5" t="s">
        <v>135</v>
      </c>
      <c r="G187" s="5">
        <v>1</v>
      </c>
      <c r="H187" s="5" t="s">
        <v>140</v>
      </c>
      <c r="I187" s="5">
        <v>1</v>
      </c>
      <c r="J187" s="5">
        <v>143460</v>
      </c>
      <c r="K187" s="5">
        <v>143460</v>
      </c>
      <c r="L187" s="5">
        <f>IF(AND(H2105=C2106,B2105=B2106),J2106,"")</f>
        <v>143740</v>
      </c>
      <c r="M187" s="2">
        <f>VLOOKUP(F2105,Sheet2!$A$2:$B$500,2,FALSE)</f>
        <v>292.25</v>
      </c>
    </row>
    <row r="188" ht="15.75" customHeight="1" spans="1:13">
      <c r="A188" s="5">
        <v>5482</v>
      </c>
      <c r="B188" s="5" t="s">
        <v>200</v>
      </c>
      <c r="C188" s="5" t="s">
        <v>140</v>
      </c>
      <c r="D188" s="5">
        <v>1</v>
      </c>
      <c r="E188" s="2">
        <f>IF(B2106=B2105,E2105+1,1)</f>
        <v>2</v>
      </c>
      <c r="F188" s="5" t="s">
        <v>133</v>
      </c>
      <c r="G188" s="5">
        <v>1</v>
      </c>
      <c r="H188" s="5" t="s">
        <v>141</v>
      </c>
      <c r="I188" s="5">
        <v>1</v>
      </c>
      <c r="J188" s="5">
        <v>143740</v>
      </c>
      <c r="K188" s="5">
        <v>143740</v>
      </c>
      <c r="L188" s="5">
        <f>IF(AND(H2106=C2107,B2106=B2107),J2107,"")</f>
        <v>144024</v>
      </c>
      <c r="M188" s="2">
        <f>VLOOKUP(F2106,Sheet2!$A$2:$B$500,2,FALSE)</f>
        <v>284.85</v>
      </c>
    </row>
    <row r="189" ht="15.75" customHeight="1" spans="1:13">
      <c r="A189" s="5">
        <v>5483</v>
      </c>
      <c r="B189" s="5" t="s">
        <v>200</v>
      </c>
      <c r="C189" s="5" t="s">
        <v>141</v>
      </c>
      <c r="D189" s="5">
        <v>1</v>
      </c>
      <c r="E189" s="2">
        <f>IF(B2107=B2106,E2106+1,1)</f>
        <v>3</v>
      </c>
      <c r="F189" s="5" t="s">
        <v>131</v>
      </c>
      <c r="G189" s="5">
        <v>1</v>
      </c>
      <c r="H189" s="5" t="s">
        <v>142</v>
      </c>
      <c r="I189" s="5">
        <v>1</v>
      </c>
      <c r="J189" s="5">
        <v>144024</v>
      </c>
      <c r="K189" s="5">
        <v>144144</v>
      </c>
      <c r="L189" s="5">
        <f>IF(AND(H2107=C2108,B2107=B2108),J2108,"")</f>
        <v>144422</v>
      </c>
      <c r="M189" s="2">
        <f>VLOOKUP(F2107,Sheet2!$A$2:$B$500,2,FALSE)</f>
        <v>277.05</v>
      </c>
    </row>
    <row r="190" ht="15.75" customHeight="1" spans="1:13">
      <c r="A190" s="5">
        <v>5484</v>
      </c>
      <c r="B190" s="5" t="s">
        <v>200</v>
      </c>
      <c r="C190" s="5" t="s">
        <v>142</v>
      </c>
      <c r="D190" s="5">
        <v>1</v>
      </c>
      <c r="E190" s="2">
        <f>IF(B2108=B2107,E2107+1,1)</f>
        <v>4</v>
      </c>
      <c r="F190" s="5" t="s">
        <v>129</v>
      </c>
      <c r="G190" s="5">
        <v>1</v>
      </c>
      <c r="H190" s="5" t="s">
        <v>143</v>
      </c>
      <c r="I190" s="5">
        <v>1</v>
      </c>
      <c r="J190" s="5">
        <v>144422</v>
      </c>
      <c r="K190" s="5">
        <v>144422</v>
      </c>
      <c r="L190" s="5">
        <f>IF(AND(H2108=C2109,B2108=B2109),J2109,"")</f>
        <v>144782</v>
      </c>
      <c r="M190" s="2">
        <f>VLOOKUP(F2108,Sheet2!$A$2:$B$500,2,FALSE)</f>
        <v>269.89</v>
      </c>
    </row>
    <row r="191" ht="15.75" customHeight="1" spans="1:13">
      <c r="A191" s="5">
        <v>5485</v>
      </c>
      <c r="B191" s="5" t="s">
        <v>200</v>
      </c>
      <c r="C191" s="5" t="s">
        <v>143</v>
      </c>
      <c r="D191" s="5">
        <v>1</v>
      </c>
      <c r="E191" s="2">
        <f>IF(B2109=B2108,E2108+1,1)</f>
        <v>5</v>
      </c>
      <c r="F191" s="5" t="s">
        <v>127</v>
      </c>
      <c r="G191" s="5">
        <v>1</v>
      </c>
      <c r="H191" s="5" t="s">
        <v>144</v>
      </c>
      <c r="I191" s="5">
        <v>1</v>
      </c>
      <c r="J191" s="5">
        <v>144782</v>
      </c>
      <c r="K191" s="5">
        <v>144782</v>
      </c>
      <c r="L191" s="5">
        <f>IF(AND(H2109=C2110,B2109=B2110),J2110,"")</f>
        <v>145080</v>
      </c>
      <c r="M191" s="2">
        <f>VLOOKUP(F2109,Sheet2!$A$2:$B$500,2,FALSE)</f>
        <v>260.81</v>
      </c>
    </row>
    <row r="192" ht="15.75" customHeight="1" spans="1:13">
      <c r="A192" s="5">
        <v>5486</v>
      </c>
      <c r="B192" s="5" t="s">
        <v>200</v>
      </c>
      <c r="C192" s="5" t="s">
        <v>144</v>
      </c>
      <c r="D192" s="5">
        <v>1</v>
      </c>
      <c r="E192" s="2">
        <f>IF(B2110=B2109,E2109+1,1)</f>
        <v>6</v>
      </c>
      <c r="F192" s="5" t="s">
        <v>125</v>
      </c>
      <c r="G192" s="5">
        <v>1</v>
      </c>
      <c r="H192" s="5" t="s">
        <v>145</v>
      </c>
      <c r="I192" s="5">
        <v>1</v>
      </c>
      <c r="J192" s="5">
        <v>145080</v>
      </c>
      <c r="K192" s="5">
        <v>145080</v>
      </c>
      <c r="L192" s="5">
        <f>IF(AND(H2110=C2111,B2110=B2111),J2111,"")</f>
        <v>145422</v>
      </c>
      <c r="M192" s="2">
        <f>VLOOKUP(F2110,Sheet2!$A$2:$B$500,2,FALSE)</f>
        <v>254.61</v>
      </c>
    </row>
    <row r="193" ht="15.75" customHeight="1" spans="1:13">
      <c r="A193" s="5">
        <v>5487</v>
      </c>
      <c r="B193" s="5" t="s">
        <v>200</v>
      </c>
      <c r="C193" s="5" t="s">
        <v>145</v>
      </c>
      <c r="D193" s="5">
        <v>1</v>
      </c>
      <c r="E193" s="2">
        <f>IF(B2111=B2110,E2110+1,1)</f>
        <v>7</v>
      </c>
      <c r="F193" s="5" t="s">
        <v>123</v>
      </c>
      <c r="G193" s="5">
        <v>6</v>
      </c>
      <c r="H193" s="5" t="s">
        <v>146</v>
      </c>
      <c r="I193" s="5">
        <v>2</v>
      </c>
      <c r="J193" s="5">
        <v>145422</v>
      </c>
      <c r="K193" s="5">
        <v>145902</v>
      </c>
      <c r="L193" s="5">
        <f>IF(AND(H2111=C2112,B2111=B2112),J2112,"")</f>
        <v>146140</v>
      </c>
      <c r="M193" s="2">
        <f>VLOOKUP(F2111,Sheet2!$A$2:$B$500,2,FALSE)</f>
        <v>250.21</v>
      </c>
    </row>
    <row r="194" ht="15.75" customHeight="1" spans="1:13">
      <c r="A194" s="5">
        <v>5488</v>
      </c>
      <c r="B194" s="5" t="s">
        <v>200</v>
      </c>
      <c r="C194" s="5" t="s">
        <v>146</v>
      </c>
      <c r="D194" s="5">
        <v>2</v>
      </c>
      <c r="E194" s="2">
        <f>IF(B2112=B2111,E2111+1,1)</f>
        <v>8</v>
      </c>
      <c r="F194" s="5" t="s">
        <v>121</v>
      </c>
      <c r="G194" s="5">
        <v>2</v>
      </c>
      <c r="H194" s="5" t="s">
        <v>147</v>
      </c>
      <c r="I194" s="5">
        <v>2</v>
      </c>
      <c r="J194" s="5">
        <v>146140</v>
      </c>
      <c r="K194" s="5">
        <v>146140</v>
      </c>
      <c r="L194" s="5">
        <f>IF(AND(H2112=C2113,B2112=B2113),J2113,"")</f>
        <v>146268</v>
      </c>
      <c r="M194" s="2">
        <f>VLOOKUP(F2112,Sheet2!$A$2:$B$500,2,FALSE)</f>
        <v>247.11</v>
      </c>
    </row>
    <row r="195" ht="15.75" customHeight="1" spans="1:13">
      <c r="A195" s="5">
        <v>5489</v>
      </c>
      <c r="B195" s="5" t="s">
        <v>200</v>
      </c>
      <c r="C195" s="5" t="s">
        <v>147</v>
      </c>
      <c r="D195" s="5">
        <v>2</v>
      </c>
      <c r="E195" s="2">
        <f>IF(B2113=B2112,E2112+1,1)</f>
        <v>9</v>
      </c>
      <c r="F195" s="5" t="s">
        <v>119</v>
      </c>
      <c r="G195" s="5">
        <v>2</v>
      </c>
      <c r="H195" s="5" t="s">
        <v>148</v>
      </c>
      <c r="I195" s="5">
        <v>2</v>
      </c>
      <c r="J195" s="5">
        <v>146268</v>
      </c>
      <c r="K195" s="5">
        <v>146268</v>
      </c>
      <c r="L195" s="5">
        <f>IF(AND(H2113=C2114,B2113=B2114),J2114,"")</f>
        <v>146658</v>
      </c>
      <c r="M195" s="2">
        <f>VLOOKUP(F2113,Sheet2!$A$2:$B$500,2,FALSE)</f>
        <v>243.13</v>
      </c>
    </row>
    <row r="196" ht="15.75" customHeight="1" spans="1:13">
      <c r="A196" s="5">
        <v>5490</v>
      </c>
      <c r="B196" s="5" t="s">
        <v>200</v>
      </c>
      <c r="C196" s="5" t="s">
        <v>148</v>
      </c>
      <c r="D196" s="5">
        <v>2</v>
      </c>
      <c r="E196" s="2">
        <f>IF(B2114=B2113,E2113+1,1)</f>
        <v>10</v>
      </c>
      <c r="F196" s="5" t="s">
        <v>117</v>
      </c>
      <c r="G196" s="5">
        <v>4</v>
      </c>
      <c r="H196" s="5" t="s">
        <v>149</v>
      </c>
      <c r="I196" s="5">
        <v>2</v>
      </c>
      <c r="J196" s="5">
        <v>146658</v>
      </c>
      <c r="K196" s="5">
        <v>146658</v>
      </c>
      <c r="L196" s="5">
        <f>IF(AND(H2114=C2115,B2114=B2115),J2115,"")</f>
        <v>146854</v>
      </c>
      <c r="M196" s="2">
        <f>VLOOKUP(F2114,Sheet2!$A$2:$B$500,2,FALSE)</f>
        <v>235.72</v>
      </c>
    </row>
    <row r="197" ht="15.75" customHeight="1" spans="1:13">
      <c r="A197" s="5">
        <v>5491</v>
      </c>
      <c r="B197" s="5" t="s">
        <v>200</v>
      </c>
      <c r="C197" s="5" t="s">
        <v>149</v>
      </c>
      <c r="D197" s="5">
        <v>2</v>
      </c>
      <c r="E197" s="2">
        <f>IF(B2115=B2114,E2114+1,1)</f>
        <v>11</v>
      </c>
      <c r="F197" s="5" t="s">
        <v>115</v>
      </c>
      <c r="G197" s="5">
        <v>3</v>
      </c>
      <c r="H197" s="5" t="s">
        <v>150</v>
      </c>
      <c r="I197" s="5">
        <v>2</v>
      </c>
      <c r="J197" s="5">
        <v>146854</v>
      </c>
      <c r="K197" s="5">
        <v>146854</v>
      </c>
      <c r="L197" s="5">
        <f>IF(AND(H2115=C2116,B2115=B2116),J2116,"")</f>
        <v>147100</v>
      </c>
      <c r="M197" s="2">
        <f>VLOOKUP(F2115,Sheet2!$A$2:$B$500,2,FALSE)</f>
        <v>230.82</v>
      </c>
    </row>
    <row r="198" ht="15.75" customHeight="1" spans="1:13">
      <c r="A198" s="5">
        <v>5492</v>
      </c>
      <c r="B198" s="5" t="s">
        <v>200</v>
      </c>
      <c r="C198" s="5" t="s">
        <v>150</v>
      </c>
      <c r="D198" s="5">
        <v>2</v>
      </c>
      <c r="E198" s="2">
        <f>IF(B2116=B2115,E2115+1,1)</f>
        <v>12</v>
      </c>
      <c r="F198" s="5" t="s">
        <v>113</v>
      </c>
      <c r="G198" s="5">
        <v>1</v>
      </c>
      <c r="H198" s="5" t="s">
        <v>151</v>
      </c>
      <c r="I198" s="5">
        <v>2</v>
      </c>
      <c r="J198" s="5">
        <v>147100</v>
      </c>
      <c r="K198" s="5">
        <v>147100</v>
      </c>
      <c r="L198" s="5">
        <f>IF(AND(H2116=C2117,B2116=B2117),J2117,"")</f>
        <v>147490</v>
      </c>
      <c r="M198" s="2">
        <f>VLOOKUP(F2116,Sheet2!$A$2:$B$500,2,FALSE)</f>
        <v>223.82</v>
      </c>
    </row>
    <row r="199" ht="15.75" customHeight="1" spans="1:13">
      <c r="A199" s="5">
        <v>5493</v>
      </c>
      <c r="B199" s="5" t="s">
        <v>200</v>
      </c>
      <c r="C199" s="5" t="s">
        <v>151</v>
      </c>
      <c r="D199" s="5">
        <v>2</v>
      </c>
      <c r="E199" s="2">
        <f>IF(B2117=B2116,E2116+1,1)</f>
        <v>13</v>
      </c>
      <c r="F199" s="5" t="s">
        <v>111</v>
      </c>
      <c r="G199" s="5">
        <v>1</v>
      </c>
      <c r="H199" s="5" t="s">
        <v>152</v>
      </c>
      <c r="I199" s="5">
        <v>2</v>
      </c>
      <c r="J199" s="5">
        <v>147490</v>
      </c>
      <c r="K199" s="5">
        <v>147610</v>
      </c>
      <c r="L199" s="5">
        <f>IF(AND(H2117=C2118,B2117=B2118),J2118,"")</f>
        <v>147850</v>
      </c>
      <c r="M199" s="2">
        <f>VLOOKUP(F2117,Sheet2!$A$2:$B$500,2,FALSE)</f>
        <v>213.87</v>
      </c>
    </row>
    <row r="200" ht="15.75" customHeight="1" spans="1:13">
      <c r="A200" s="5">
        <v>5494</v>
      </c>
      <c r="B200" s="5" t="s">
        <v>200</v>
      </c>
      <c r="C200" s="5" t="s">
        <v>152</v>
      </c>
      <c r="D200" s="5">
        <v>2</v>
      </c>
      <c r="E200" s="2">
        <f>IF(B2118=B2117,E2117+1,1)</f>
        <v>14</v>
      </c>
      <c r="F200" s="5" t="s">
        <v>109</v>
      </c>
      <c r="G200" s="5">
        <v>2</v>
      </c>
      <c r="H200" s="5" t="s">
        <v>153</v>
      </c>
      <c r="I200" s="5">
        <v>2</v>
      </c>
      <c r="J200" s="5">
        <v>147850</v>
      </c>
      <c r="K200" s="5">
        <v>147850</v>
      </c>
      <c r="L200" s="5">
        <f>IF(AND(H2118=C2119,B2118=B2119),J2119,"")</f>
        <v>148084</v>
      </c>
      <c r="M200" s="2">
        <f>VLOOKUP(F2118,Sheet2!$A$2:$B$500,2,FALSE)</f>
        <v>207.45</v>
      </c>
    </row>
    <row r="201" ht="15.75" customHeight="1" spans="1:13">
      <c r="A201" s="5">
        <v>5495</v>
      </c>
      <c r="B201" s="5" t="s">
        <v>200</v>
      </c>
      <c r="C201" s="5" t="s">
        <v>153</v>
      </c>
      <c r="D201" s="5">
        <v>2</v>
      </c>
      <c r="E201" s="2">
        <f>IF(B2119=B2118,E2118+1,1)</f>
        <v>15</v>
      </c>
      <c r="F201" s="5" t="s">
        <v>107</v>
      </c>
      <c r="G201" s="5">
        <v>4</v>
      </c>
      <c r="H201" s="5" t="s">
        <v>154</v>
      </c>
      <c r="I201" s="5">
        <v>2</v>
      </c>
      <c r="J201" s="5">
        <v>148084</v>
      </c>
      <c r="K201" s="5">
        <v>148084</v>
      </c>
      <c r="L201" s="5">
        <f>IF(AND(H2119=C2120,B2119=B2120),J2120,"")</f>
        <v>148442</v>
      </c>
      <c r="M201" s="2">
        <f>VLOOKUP(F2119,Sheet2!$A$2:$B$500,2,FALSE)</f>
        <v>201.81</v>
      </c>
    </row>
    <row r="202" ht="15.75" customHeight="1" spans="1:13">
      <c r="A202" s="5">
        <v>5496</v>
      </c>
      <c r="B202" s="5" t="s">
        <v>200</v>
      </c>
      <c r="C202" s="5" t="s">
        <v>154</v>
      </c>
      <c r="D202" s="5">
        <v>2</v>
      </c>
      <c r="E202" s="2">
        <f>IF(B2120=B2119,E2119+1,1)</f>
        <v>16</v>
      </c>
      <c r="F202" s="5" t="s">
        <v>105</v>
      </c>
      <c r="G202" s="5">
        <v>3</v>
      </c>
      <c r="H202" s="5" t="s">
        <v>155</v>
      </c>
      <c r="I202" s="5">
        <v>2</v>
      </c>
      <c r="J202" s="5">
        <v>148442</v>
      </c>
      <c r="K202" s="5">
        <v>148442</v>
      </c>
      <c r="L202" s="5">
        <f>IF(AND(H2120=C2121,B2120=B2121),J2121,"")</f>
        <v>148832</v>
      </c>
      <c r="M202" s="2">
        <f>VLOOKUP(F2120,Sheet2!$A$2:$B$500,2,FALSE)</f>
        <v>192.45</v>
      </c>
    </row>
    <row r="203" ht="15.75" customHeight="1" spans="1:13">
      <c r="A203" s="5">
        <v>5497</v>
      </c>
      <c r="B203" s="5" t="s">
        <v>200</v>
      </c>
      <c r="C203" s="5" t="s">
        <v>155</v>
      </c>
      <c r="D203" s="5">
        <v>2</v>
      </c>
      <c r="E203" s="2">
        <f>IF(B2121=B2120,E2120+1,1)</f>
        <v>17</v>
      </c>
      <c r="F203" s="5" t="s">
        <v>103</v>
      </c>
      <c r="G203" s="5">
        <v>1</v>
      </c>
      <c r="H203" s="5" t="s">
        <v>156</v>
      </c>
      <c r="I203" s="5">
        <v>2</v>
      </c>
      <c r="J203" s="5">
        <v>148832</v>
      </c>
      <c r="K203" s="5">
        <v>148832</v>
      </c>
      <c r="L203" s="5">
        <f>IF(AND(H2121=C2122,B2121=B2122),J2122,"")</f>
        <v>149068</v>
      </c>
      <c r="M203" s="2">
        <f>VLOOKUP(F2121,Sheet2!$A$2:$B$500,2,FALSE)</f>
        <v>183.35</v>
      </c>
    </row>
    <row r="204" ht="15.75" customHeight="1" spans="1:13">
      <c r="A204" s="5">
        <v>5498</v>
      </c>
      <c r="B204" s="5" t="s">
        <v>200</v>
      </c>
      <c r="C204" s="5" t="s">
        <v>156</v>
      </c>
      <c r="D204" s="5">
        <v>2</v>
      </c>
      <c r="E204" s="2">
        <f>IF(B2122=B2121,E2121+1,1)</f>
        <v>18</v>
      </c>
      <c r="F204" s="5" t="s">
        <v>101</v>
      </c>
      <c r="G204" s="5">
        <v>2</v>
      </c>
      <c r="H204" s="5" t="s">
        <v>157</v>
      </c>
      <c r="I204" s="5">
        <v>2</v>
      </c>
      <c r="J204" s="5">
        <v>149068</v>
      </c>
      <c r="K204" s="5">
        <v>149068</v>
      </c>
      <c r="L204" s="5">
        <f>IF(AND(H2122=C2123,B2122=B2123),J2123,"")</f>
        <v>149350</v>
      </c>
      <c r="M204" s="2">
        <f>VLOOKUP(F2122,Sheet2!$A$2:$B$500,2,FALSE)</f>
        <v>177.34</v>
      </c>
    </row>
    <row r="205" ht="15.75" customHeight="1" spans="1:13">
      <c r="A205" s="5">
        <v>5499</v>
      </c>
      <c r="B205" s="5" t="s">
        <v>200</v>
      </c>
      <c r="C205" s="5" t="s">
        <v>157</v>
      </c>
      <c r="D205" s="5">
        <v>2</v>
      </c>
      <c r="E205" s="2">
        <f>IF(B2123=B2122,E2122+1,1)</f>
        <v>19</v>
      </c>
      <c r="F205" s="5" t="s">
        <v>99</v>
      </c>
      <c r="G205" s="5">
        <v>1</v>
      </c>
      <c r="H205" s="5" t="s">
        <v>158</v>
      </c>
      <c r="I205" s="5">
        <v>2</v>
      </c>
      <c r="J205" s="5">
        <v>149350</v>
      </c>
      <c r="K205" s="5">
        <v>149350</v>
      </c>
      <c r="L205" s="5">
        <f>IF(AND(H2123=C2124,B2123=B2124),J2124,"")</f>
        <v>149710</v>
      </c>
      <c r="M205" s="2">
        <f>VLOOKUP(F2123,Sheet2!$A$2:$B$500,2,FALSE)</f>
        <v>169.73</v>
      </c>
    </row>
    <row r="206" ht="15.75" customHeight="1" spans="1:13">
      <c r="A206" s="5">
        <v>5500</v>
      </c>
      <c r="B206" s="5" t="s">
        <v>200</v>
      </c>
      <c r="C206" s="5" t="s">
        <v>158</v>
      </c>
      <c r="D206" s="5">
        <v>2</v>
      </c>
      <c r="E206" s="2">
        <f>IF(B2124=B2123,E2123+1,1)</f>
        <v>20</v>
      </c>
      <c r="F206" s="5" t="s">
        <v>97</v>
      </c>
      <c r="G206" s="5">
        <v>2</v>
      </c>
      <c r="H206" s="5" t="s">
        <v>159</v>
      </c>
      <c r="I206" s="5">
        <v>2</v>
      </c>
      <c r="J206" s="5">
        <v>149710</v>
      </c>
      <c r="K206" s="5">
        <v>149710</v>
      </c>
      <c r="L206" s="5">
        <f>IF(AND(H2124=C2125,B2124=B2125),J2125,"")</f>
        <v>149988</v>
      </c>
      <c r="M206" s="2">
        <f>VLOOKUP(F2124,Sheet2!$A$2:$B$500,2,FALSE)</f>
        <v>161.42</v>
      </c>
    </row>
    <row r="207" ht="15.75" customHeight="1" spans="1:13">
      <c r="A207" s="5">
        <v>5501</v>
      </c>
      <c r="B207" s="5" t="s">
        <v>200</v>
      </c>
      <c r="C207" s="5" t="s">
        <v>159</v>
      </c>
      <c r="D207" s="5">
        <v>2</v>
      </c>
      <c r="E207" s="2">
        <f>IF(B2125=B2124,E2124+1,1)</f>
        <v>21</v>
      </c>
      <c r="F207" s="5" t="s">
        <v>95</v>
      </c>
      <c r="G207" s="5">
        <v>1</v>
      </c>
      <c r="H207" s="5" t="s">
        <v>160</v>
      </c>
      <c r="I207" s="5">
        <v>2</v>
      </c>
      <c r="J207" s="5">
        <v>149988</v>
      </c>
      <c r="K207" s="5">
        <v>150108</v>
      </c>
      <c r="L207" s="5">
        <f>IF(AND(H2125=C2126,B2125=B2126),J2126,"")</f>
        <v>150430</v>
      </c>
      <c r="M207" s="2">
        <f>VLOOKUP(F2125,Sheet2!$A$2:$B$500,2,FALSE)</f>
        <v>154.14</v>
      </c>
    </row>
    <row r="208" ht="15.75" customHeight="1" spans="1:13">
      <c r="A208" s="5">
        <v>5502</v>
      </c>
      <c r="B208" s="5" t="s">
        <v>200</v>
      </c>
      <c r="C208" s="5" t="s">
        <v>160</v>
      </c>
      <c r="D208" s="5">
        <v>2</v>
      </c>
      <c r="E208" s="2">
        <f>IF(B2126=B2125,E2125+1,1)</f>
        <v>22</v>
      </c>
      <c r="F208" s="5" t="s">
        <v>93</v>
      </c>
      <c r="G208" s="5">
        <v>2</v>
      </c>
      <c r="H208" s="5" t="s">
        <v>161</v>
      </c>
      <c r="I208" s="5">
        <v>2</v>
      </c>
      <c r="J208" s="5">
        <v>150430</v>
      </c>
      <c r="K208" s="5">
        <v>150430</v>
      </c>
      <c r="L208" s="5">
        <f>IF(AND(H2126=C2127,B2126=B2127),J2127,"")</f>
        <v>150730</v>
      </c>
      <c r="M208" s="2">
        <f>VLOOKUP(F2126,Sheet2!$A$2:$B$500,2,FALSE)</f>
        <v>145.57</v>
      </c>
    </row>
    <row r="209" ht="15.75" customHeight="1" spans="1:13">
      <c r="A209" s="5">
        <v>5503</v>
      </c>
      <c r="B209" s="5" t="s">
        <v>200</v>
      </c>
      <c r="C209" s="5" t="s">
        <v>161</v>
      </c>
      <c r="D209" s="5">
        <v>2</v>
      </c>
      <c r="E209" s="2">
        <f>IF(B2127=B2126,E2126+1,1)</f>
        <v>23</v>
      </c>
      <c r="F209" s="5" t="s">
        <v>91</v>
      </c>
      <c r="G209" s="5">
        <v>4</v>
      </c>
      <c r="H209" s="5" t="s">
        <v>162</v>
      </c>
      <c r="I209" s="5">
        <v>2</v>
      </c>
      <c r="J209" s="5">
        <v>150730</v>
      </c>
      <c r="K209" s="5">
        <v>150730</v>
      </c>
      <c r="L209" s="5">
        <f>IF(AND(H2127=C2128,B2127=B2128),J2128,"")</f>
        <v>151014</v>
      </c>
      <c r="M209" s="2">
        <f>VLOOKUP(F2127,Sheet2!$A$2:$B$500,2,FALSE)</f>
        <v>138.81</v>
      </c>
    </row>
    <row r="210" ht="15.75" customHeight="1" spans="1:13">
      <c r="A210" s="5">
        <v>5504</v>
      </c>
      <c r="B210" s="5" t="s">
        <v>200</v>
      </c>
      <c r="C210" s="5" t="s">
        <v>162</v>
      </c>
      <c r="D210" s="5">
        <v>2</v>
      </c>
      <c r="E210" s="2">
        <f>IF(B2128=B2127,E2127+1,1)</f>
        <v>24</v>
      </c>
      <c r="F210" s="5" t="s">
        <v>89</v>
      </c>
      <c r="G210" s="5">
        <v>2</v>
      </c>
      <c r="H210" s="5" t="s">
        <v>163</v>
      </c>
      <c r="I210" s="5">
        <v>2</v>
      </c>
      <c r="J210" s="5">
        <v>151014</v>
      </c>
      <c r="K210" s="5">
        <v>151014</v>
      </c>
      <c r="L210" s="5">
        <f>IF(AND(H2128=C2129,B2128=B2129),J2129,"")</f>
        <v>151346</v>
      </c>
      <c r="M210" s="2">
        <f>VLOOKUP(F2128,Sheet2!$A$2:$B$500,2,FALSE)</f>
        <v>130.91</v>
      </c>
    </row>
    <row r="211" ht="15.75" customHeight="1" spans="1:13">
      <c r="A211" s="5">
        <v>5505</v>
      </c>
      <c r="B211" s="5" t="s">
        <v>200</v>
      </c>
      <c r="C211" s="5" t="s">
        <v>163</v>
      </c>
      <c r="D211" s="5">
        <v>2</v>
      </c>
      <c r="E211" s="2">
        <f>IF(B2129=B2128,E2128+1,1)</f>
        <v>25</v>
      </c>
      <c r="F211" s="5" t="s">
        <v>87</v>
      </c>
      <c r="G211" s="5">
        <v>1</v>
      </c>
      <c r="H211" s="5" t="s">
        <v>164</v>
      </c>
      <c r="I211" s="5">
        <v>2</v>
      </c>
      <c r="J211" s="5">
        <v>151346</v>
      </c>
      <c r="K211" s="5">
        <v>151346</v>
      </c>
      <c r="L211" s="5">
        <f>IF(AND(H2129=C2130,B2129=B2130),J2130,"")</f>
        <v>151514</v>
      </c>
      <c r="M211" s="2">
        <f>VLOOKUP(F2129,Sheet2!$A$2:$B$500,2,FALSE)</f>
        <v>124.31</v>
      </c>
    </row>
    <row r="212" ht="15.75" customHeight="1" spans="1:13">
      <c r="A212" s="5">
        <v>5506</v>
      </c>
      <c r="B212" s="5" t="s">
        <v>200</v>
      </c>
      <c r="C212" s="5" t="s">
        <v>164</v>
      </c>
      <c r="D212" s="5">
        <v>2</v>
      </c>
      <c r="E212" s="2">
        <f>IF(B2130=B2129,E2129+1,1)</f>
        <v>26</v>
      </c>
      <c r="F212" s="5" t="s">
        <v>85</v>
      </c>
      <c r="G212" s="5">
        <v>1</v>
      </c>
      <c r="H212" s="5" t="s">
        <v>165</v>
      </c>
      <c r="I212" s="5">
        <v>3</v>
      </c>
      <c r="J212" s="5">
        <v>151514</v>
      </c>
      <c r="K212" s="5">
        <v>151514</v>
      </c>
      <c r="L212" s="5">
        <f>IF(AND(H2130=C2131,B2130=B2131),J2131,"")</f>
        <v>152174</v>
      </c>
      <c r="M212" s="2">
        <f>VLOOKUP(F2130,Sheet2!$A$2:$B$500,2,FALSE)</f>
        <v>122.31</v>
      </c>
    </row>
    <row r="213" ht="15.75" customHeight="1" spans="1:13">
      <c r="A213" s="5">
        <v>5507</v>
      </c>
      <c r="B213" s="5" t="s">
        <v>200</v>
      </c>
      <c r="C213" s="5" t="s">
        <v>165</v>
      </c>
      <c r="D213" s="5">
        <v>3</v>
      </c>
      <c r="E213" s="2">
        <f>IF(B2131=B2130,E2130+1,1)</f>
        <v>27</v>
      </c>
      <c r="F213" s="5" t="s">
        <v>83</v>
      </c>
      <c r="G213" s="5">
        <v>5</v>
      </c>
      <c r="H213" s="5" t="s">
        <v>166</v>
      </c>
      <c r="I213" s="5">
        <v>2</v>
      </c>
      <c r="J213" s="5">
        <v>152174</v>
      </c>
      <c r="K213" s="5">
        <v>152294</v>
      </c>
      <c r="L213" s="5">
        <f>IF(AND(H2131=C2132,B2131=B2132),J2132,"")</f>
        <v>152602</v>
      </c>
      <c r="M213" s="2">
        <f>VLOOKUP(F2131,Sheet2!$A$2:$B$500,2,FALSE)</f>
        <v>116.01</v>
      </c>
    </row>
    <row r="214" ht="15.75" customHeight="1" spans="1:13">
      <c r="A214" s="5">
        <v>5508</v>
      </c>
      <c r="B214" s="5" t="s">
        <v>200</v>
      </c>
      <c r="C214" s="5" t="s">
        <v>166</v>
      </c>
      <c r="D214" s="5">
        <v>2</v>
      </c>
      <c r="E214" s="2">
        <f>IF(B2132=B2131,E2131+1,1)</f>
        <v>28</v>
      </c>
      <c r="F214" s="5" t="s">
        <v>81</v>
      </c>
      <c r="G214" s="5">
        <v>5</v>
      </c>
      <c r="H214" s="5" t="s">
        <v>167</v>
      </c>
      <c r="I214" s="5">
        <v>2</v>
      </c>
      <c r="J214" s="5">
        <v>152602</v>
      </c>
      <c r="K214" s="5">
        <v>152602</v>
      </c>
      <c r="L214" s="5">
        <f>IF(AND(H2132=C2133,B2132=B2133),J2133,"")</f>
        <v>152806</v>
      </c>
      <c r="M214" s="2">
        <f>VLOOKUP(F2132,Sheet2!$A$2:$B$500,2,FALSE)</f>
        <v>108.81</v>
      </c>
    </row>
    <row r="215" ht="15.75" customHeight="1" spans="1:13">
      <c r="A215" s="5">
        <v>5509</v>
      </c>
      <c r="B215" s="5" t="s">
        <v>200</v>
      </c>
      <c r="C215" s="5" t="s">
        <v>167</v>
      </c>
      <c r="D215" s="5">
        <v>2</v>
      </c>
      <c r="E215" s="2">
        <f>IF(B2133=B2132,E2132+1,1)</f>
        <v>29</v>
      </c>
      <c r="F215" s="5" t="s">
        <v>79</v>
      </c>
      <c r="G215" s="5">
        <v>5</v>
      </c>
      <c r="H215" s="5" t="s">
        <v>168</v>
      </c>
      <c r="I215" s="5">
        <v>3</v>
      </c>
      <c r="J215" s="5">
        <v>152806</v>
      </c>
      <c r="K215" s="5">
        <v>152806</v>
      </c>
      <c r="L215" s="5">
        <f>IF(AND(H2133=C2134,B2133=B2134),J2134,"")</f>
        <v>153012</v>
      </c>
      <c r="M215" s="2">
        <f>VLOOKUP(F2133,Sheet2!$A$2:$B$500,2,FALSE)</f>
        <v>103.11</v>
      </c>
    </row>
    <row r="216" ht="15.75" customHeight="1" spans="1:13">
      <c r="A216" s="5">
        <v>5510</v>
      </c>
      <c r="B216" s="5" t="s">
        <v>200</v>
      </c>
      <c r="C216" s="5" t="s">
        <v>168</v>
      </c>
      <c r="D216" s="5">
        <v>3</v>
      </c>
      <c r="E216" s="2">
        <f>IF(B2134=B2133,E2133+1,1)</f>
        <v>30</v>
      </c>
      <c r="F216" s="5" t="s">
        <v>77</v>
      </c>
      <c r="G216" s="5">
        <v>3</v>
      </c>
      <c r="H216" s="5" t="s">
        <v>169</v>
      </c>
      <c r="I216" s="5">
        <v>2</v>
      </c>
      <c r="J216" s="5">
        <v>153012</v>
      </c>
      <c r="K216" s="5">
        <v>153012</v>
      </c>
      <c r="L216" s="5">
        <f>IF(AND(H2134=C2135,B2134=B2135),J2135,"")</f>
        <v>153282</v>
      </c>
      <c r="M216" s="2">
        <f>VLOOKUP(F2134,Sheet2!$A$2:$B$500,2,FALSE)</f>
        <v>97.09</v>
      </c>
    </row>
    <row r="217" ht="15.75" customHeight="1" spans="1:13">
      <c r="A217" s="5">
        <v>5511</v>
      </c>
      <c r="B217" s="5" t="s">
        <v>200</v>
      </c>
      <c r="C217" s="5" t="s">
        <v>169</v>
      </c>
      <c r="D217" s="5">
        <v>2</v>
      </c>
      <c r="E217" s="2">
        <f>IF(B2135=B2134,E2134+1,1)</f>
        <v>31</v>
      </c>
      <c r="F217" s="5" t="s">
        <v>75</v>
      </c>
      <c r="G217" s="5">
        <v>5</v>
      </c>
      <c r="H217" s="5" t="s">
        <v>170</v>
      </c>
      <c r="I217" s="5">
        <v>3</v>
      </c>
      <c r="J217" s="5">
        <v>153282</v>
      </c>
      <c r="K217" s="5">
        <v>153282</v>
      </c>
      <c r="L217" s="5">
        <f>IF(AND(H2135=C2136,B2135=B2136),J2136,"")</f>
        <v>153402</v>
      </c>
      <c r="M217" s="2">
        <f>VLOOKUP(F2135,Sheet2!$A$2:$B$500,2,FALSE)</f>
        <v>91.19</v>
      </c>
    </row>
    <row r="218" ht="15.75" customHeight="1" spans="1:13">
      <c r="A218" s="5">
        <v>5512</v>
      </c>
      <c r="B218" s="5" t="s">
        <v>200</v>
      </c>
      <c r="C218" s="5" t="s">
        <v>170</v>
      </c>
      <c r="D218" s="5">
        <v>3</v>
      </c>
      <c r="E218" s="2">
        <f>IF(B2136=B2135,E2135+1,1)</f>
        <v>32</v>
      </c>
      <c r="F218" s="5" t="s">
        <v>73</v>
      </c>
      <c r="G218" s="5">
        <v>3</v>
      </c>
      <c r="H218" s="5" t="s">
        <v>171</v>
      </c>
      <c r="I218" s="5">
        <v>3</v>
      </c>
      <c r="J218" s="5">
        <v>153402</v>
      </c>
      <c r="K218" s="5">
        <v>153402</v>
      </c>
      <c r="L218" s="5">
        <f>IF(AND(H2136=C2137,B2136=B2137),J2137,"")</f>
        <v>153524</v>
      </c>
      <c r="M218" s="2">
        <f>VLOOKUP(F2136,Sheet2!$A$2:$B$500,2,FALSE)</f>
        <v>87.97</v>
      </c>
    </row>
    <row r="219" ht="15.75" customHeight="1" spans="1:13">
      <c r="A219" s="5">
        <v>5513</v>
      </c>
      <c r="B219" s="5" t="s">
        <v>200</v>
      </c>
      <c r="C219" s="5" t="s">
        <v>171</v>
      </c>
      <c r="D219" s="5">
        <v>3</v>
      </c>
      <c r="E219" s="2">
        <f>IF(B2137=B2136,E2136+1,1)</f>
        <v>33</v>
      </c>
      <c r="F219" s="5" t="s">
        <v>71</v>
      </c>
      <c r="G219" s="5">
        <v>3</v>
      </c>
      <c r="H219" s="5" t="s">
        <v>172</v>
      </c>
      <c r="I219" s="5">
        <v>3</v>
      </c>
      <c r="J219" s="5">
        <v>153524</v>
      </c>
      <c r="K219" s="5">
        <v>153524</v>
      </c>
      <c r="L219" s="5">
        <f>IF(AND(H2137=C2138,B2137=B2138),J2138,"")</f>
        <v>153682</v>
      </c>
      <c r="M219" s="2">
        <f>VLOOKUP(F2137,Sheet2!$A$2:$B$500,2,FALSE)</f>
        <v>84.62</v>
      </c>
    </row>
    <row r="220" ht="15.75" customHeight="1" spans="1:13">
      <c r="A220" s="5">
        <v>5514</v>
      </c>
      <c r="B220" s="5" t="s">
        <v>200</v>
      </c>
      <c r="C220" s="5" t="s">
        <v>172</v>
      </c>
      <c r="D220" s="5">
        <v>3</v>
      </c>
      <c r="E220" s="2">
        <f>IF(B2138=B2137,E2137+1,1)</f>
        <v>34</v>
      </c>
      <c r="F220" s="5" t="s">
        <v>69</v>
      </c>
      <c r="G220" s="5">
        <v>3</v>
      </c>
      <c r="H220" s="5" t="s">
        <v>173</v>
      </c>
      <c r="I220" s="5">
        <v>2</v>
      </c>
      <c r="J220" s="5">
        <v>153682</v>
      </c>
      <c r="K220" s="5">
        <v>153682</v>
      </c>
      <c r="L220" s="5">
        <f>IF(AND(H2138=C2139,B2138=B2139),J2139,"")</f>
        <v>153842</v>
      </c>
      <c r="M220" s="2">
        <f>VLOOKUP(F2138,Sheet2!$A$2:$B$500,2,FALSE)</f>
        <v>80.62</v>
      </c>
    </row>
    <row r="221" ht="15.75" customHeight="1" spans="1:13">
      <c r="A221" s="5">
        <v>5515</v>
      </c>
      <c r="B221" s="5" t="s">
        <v>200</v>
      </c>
      <c r="C221" s="5" t="s">
        <v>173</v>
      </c>
      <c r="D221" s="5">
        <v>2</v>
      </c>
      <c r="E221" s="2">
        <f>IF(B2139=B2138,E2138+1,1)</f>
        <v>35</v>
      </c>
      <c r="F221" s="5" t="s">
        <v>67</v>
      </c>
      <c r="G221" s="5">
        <v>2</v>
      </c>
      <c r="H221" s="5" t="s">
        <v>174</v>
      </c>
      <c r="I221" s="5">
        <v>2</v>
      </c>
      <c r="J221" s="5">
        <v>153842</v>
      </c>
      <c r="K221" s="5">
        <v>153842</v>
      </c>
      <c r="L221" s="5">
        <f>IF(AND(H2139=C2140,B2139=B2140),J2140,"")</f>
        <v>154070</v>
      </c>
      <c r="M221" s="2">
        <f>VLOOKUP(F2139,Sheet2!$A$2:$B$500,2,FALSE)</f>
        <v>76.26</v>
      </c>
    </row>
    <row r="222" ht="15.75" customHeight="1" spans="1:13">
      <c r="A222" s="5">
        <v>5516</v>
      </c>
      <c r="B222" s="5" t="s">
        <v>200</v>
      </c>
      <c r="C222" s="5" t="s">
        <v>174</v>
      </c>
      <c r="D222" s="5">
        <v>2</v>
      </c>
      <c r="E222" s="2">
        <f>IF(B2140=B2139,E2139+1,1)</f>
        <v>36</v>
      </c>
      <c r="F222" s="5" t="s">
        <v>65</v>
      </c>
      <c r="G222" s="5">
        <v>3</v>
      </c>
      <c r="H222" s="5" t="s">
        <v>175</v>
      </c>
      <c r="I222" s="5">
        <v>3</v>
      </c>
      <c r="J222" s="5">
        <v>154070</v>
      </c>
      <c r="K222" s="5">
        <v>154070</v>
      </c>
      <c r="L222" s="5">
        <f>IF(AND(H2140=C2141,B2140=B2141),J2141,"")</f>
        <v>154124</v>
      </c>
      <c r="M222" s="2">
        <f>VLOOKUP(F2140,Sheet2!$A$2:$B$500,2,FALSE)</f>
        <v>71.26</v>
      </c>
    </row>
    <row r="223" ht="15.75" customHeight="1" spans="1:13">
      <c r="A223" s="5">
        <v>5517</v>
      </c>
      <c r="B223" s="5" t="s">
        <v>200</v>
      </c>
      <c r="C223" s="5" t="s">
        <v>175</v>
      </c>
      <c r="D223" s="5">
        <v>3</v>
      </c>
      <c r="E223" s="2">
        <f>IF(B2141=B2140,E2140+1,1)</f>
        <v>37</v>
      </c>
      <c r="F223" s="5" t="s">
        <v>63</v>
      </c>
      <c r="G223" s="5">
        <v>5</v>
      </c>
      <c r="H223" s="5" t="s">
        <v>176</v>
      </c>
      <c r="I223" s="5">
        <v>3</v>
      </c>
      <c r="J223" s="5">
        <v>154124</v>
      </c>
      <c r="K223" s="5">
        <v>154124</v>
      </c>
      <c r="L223" s="5">
        <f>IF(AND(H2141=C2142,B2141=B2142),J2142,"")</f>
        <v>154194</v>
      </c>
      <c r="M223" s="2">
        <f>VLOOKUP(F2141,Sheet2!$A$2:$B$500,2,FALSE)</f>
        <v>68.59</v>
      </c>
    </row>
    <row r="224" ht="15.75" customHeight="1" spans="1:13">
      <c r="A224" s="5">
        <v>5518</v>
      </c>
      <c r="B224" s="5" t="s">
        <v>200</v>
      </c>
      <c r="C224" s="5" t="s">
        <v>176</v>
      </c>
      <c r="D224" s="5">
        <v>3</v>
      </c>
      <c r="E224" s="2">
        <f>IF(B2142=B2141,E2141+1,1)</f>
        <v>38</v>
      </c>
      <c r="F224" s="5" t="s">
        <v>61</v>
      </c>
      <c r="G224" s="5">
        <v>3</v>
      </c>
      <c r="H224" s="5" t="s">
        <v>177</v>
      </c>
      <c r="I224" s="5">
        <v>3</v>
      </c>
      <c r="J224" s="5">
        <v>154194</v>
      </c>
      <c r="K224" s="5">
        <v>154194</v>
      </c>
      <c r="L224" s="5">
        <f>IF(AND(H2142=C2143,B2142=B2143),J2143,"")</f>
        <v>154494</v>
      </c>
      <c r="M224" s="2">
        <f>VLOOKUP(F2142,Sheet2!$A$2:$B$500,2,FALSE)</f>
        <v>67.39</v>
      </c>
    </row>
    <row r="225" ht="15.75" customHeight="1" spans="1:13">
      <c r="A225" s="5">
        <v>5519</v>
      </c>
      <c r="B225" s="5" t="s">
        <v>200</v>
      </c>
      <c r="C225" s="5" t="s">
        <v>177</v>
      </c>
      <c r="D225" s="5">
        <v>3</v>
      </c>
      <c r="E225" s="2">
        <f>IF(B2143=B2142,E2142+1,1)</f>
        <v>39</v>
      </c>
      <c r="F225" s="5" t="s">
        <v>59</v>
      </c>
      <c r="G225" s="5">
        <v>3</v>
      </c>
      <c r="H225" s="5" t="s">
        <v>178</v>
      </c>
      <c r="I225" s="5">
        <v>3</v>
      </c>
      <c r="J225" s="5">
        <v>154494</v>
      </c>
      <c r="K225" s="5">
        <v>154494</v>
      </c>
      <c r="L225" s="5">
        <f>IF(AND(H2143=C2144,B2143=B2144),J2144,"")</f>
        <v>154578</v>
      </c>
      <c r="M225" s="2">
        <f>VLOOKUP(F2143,Sheet2!$A$2:$B$500,2,FALSE)</f>
        <v>63.75</v>
      </c>
    </row>
    <row r="226" ht="15.75" customHeight="1" spans="1:13">
      <c r="A226" s="5">
        <v>5520</v>
      </c>
      <c r="B226" s="5" t="s">
        <v>200</v>
      </c>
      <c r="C226" s="5" t="s">
        <v>178</v>
      </c>
      <c r="D226" s="5">
        <v>3</v>
      </c>
      <c r="E226" s="2">
        <f>IF(B2144=B2143,E2143+1,1)</f>
        <v>40</v>
      </c>
      <c r="F226" s="5" t="s">
        <v>57</v>
      </c>
      <c r="G226" s="5">
        <v>3</v>
      </c>
      <c r="H226" s="5" t="s">
        <v>179</v>
      </c>
      <c r="I226" s="5">
        <v>3</v>
      </c>
      <c r="J226" s="5">
        <v>154578</v>
      </c>
      <c r="K226" s="5">
        <v>154578</v>
      </c>
      <c r="L226" s="5">
        <f>IF(AND(H2144=C2145,B2144=B2145),J2145,"")</f>
        <v>154754</v>
      </c>
      <c r="M226" s="2">
        <f>VLOOKUP(F2144,Sheet2!$A$2:$B$500,2,FALSE)</f>
        <v>61.25</v>
      </c>
    </row>
    <row r="227" ht="15.75" customHeight="1" spans="1:13">
      <c r="A227" s="5">
        <v>5521</v>
      </c>
      <c r="B227" s="5" t="s">
        <v>200</v>
      </c>
      <c r="C227" s="5" t="s">
        <v>179</v>
      </c>
      <c r="D227" s="5">
        <v>3</v>
      </c>
      <c r="E227" s="2">
        <f>IF(B2145=B2144,E2144+1,1)</f>
        <v>41</v>
      </c>
      <c r="F227" s="5" t="s">
        <v>55</v>
      </c>
      <c r="G227" s="5">
        <v>3</v>
      </c>
      <c r="H227" s="5" t="s">
        <v>180</v>
      </c>
      <c r="I227" s="5">
        <v>2</v>
      </c>
      <c r="J227" s="5">
        <v>154754</v>
      </c>
      <c r="K227" s="5">
        <v>154754</v>
      </c>
      <c r="L227" s="5">
        <f>IF(AND(H2145=C2146,B2145=B2146),J2146,"")</f>
        <v>154936</v>
      </c>
      <c r="M227" s="2">
        <f>VLOOKUP(F2145,Sheet2!$A$2:$B$500,2,FALSE)</f>
        <v>58.45</v>
      </c>
    </row>
    <row r="228" ht="15.75" customHeight="1" spans="1:13">
      <c r="A228" s="5">
        <v>5522</v>
      </c>
      <c r="B228" s="5" t="s">
        <v>200</v>
      </c>
      <c r="C228" s="5" t="s">
        <v>180</v>
      </c>
      <c r="D228" s="5">
        <v>2</v>
      </c>
      <c r="E228" s="2">
        <f>IF(B2146=B2145,E2145+1,1)</f>
        <v>42</v>
      </c>
      <c r="F228" s="5" t="s">
        <v>53</v>
      </c>
      <c r="G228" s="5">
        <v>2</v>
      </c>
      <c r="H228" s="5" t="s">
        <v>181</v>
      </c>
      <c r="I228" s="5">
        <v>2</v>
      </c>
      <c r="J228" s="5">
        <v>154936</v>
      </c>
      <c r="K228" s="5">
        <v>154936</v>
      </c>
      <c r="L228" s="5">
        <f>IF(AND(H2146=C2147,B2146=B2147),J2147,"")</f>
        <v>155094</v>
      </c>
      <c r="M228" s="2">
        <f>VLOOKUP(F2146,Sheet2!$A$2:$B$500,2,FALSE)</f>
        <v>55.05</v>
      </c>
    </row>
    <row r="229" ht="15.75" customHeight="1" spans="1:13">
      <c r="A229" s="5">
        <v>5523</v>
      </c>
      <c r="B229" s="5" t="s">
        <v>200</v>
      </c>
      <c r="C229" s="5" t="s">
        <v>181</v>
      </c>
      <c r="D229" s="5">
        <v>2</v>
      </c>
      <c r="E229" s="2">
        <f>IF(B2147=B2146,E2146+1,1)</f>
        <v>43</v>
      </c>
      <c r="F229" s="5" t="s">
        <v>51</v>
      </c>
      <c r="G229" s="5">
        <v>4</v>
      </c>
      <c r="H229" s="5" t="s">
        <v>182</v>
      </c>
      <c r="I229" s="5">
        <v>3</v>
      </c>
      <c r="J229" s="5">
        <v>155094</v>
      </c>
      <c r="K229" s="5">
        <v>155094</v>
      </c>
      <c r="L229" s="5">
        <f>IF(AND(H2147=C2148,B2147=B2148),J2148,"")</f>
        <v>155212</v>
      </c>
      <c r="M229" s="2">
        <f>VLOOKUP(F2147,Sheet2!$A$2:$B$500,2,FALSE)</f>
        <v>51.05</v>
      </c>
    </row>
    <row r="230" ht="15.75" customHeight="1" spans="1:13">
      <c r="A230" s="5">
        <v>5524</v>
      </c>
      <c r="B230" s="5" t="s">
        <v>200</v>
      </c>
      <c r="C230" s="5" t="s">
        <v>182</v>
      </c>
      <c r="D230" s="5">
        <v>3</v>
      </c>
      <c r="E230" s="2">
        <f>IF(B2148=B2147,E2147+1,1)</f>
        <v>44</v>
      </c>
      <c r="F230" s="5" t="s">
        <v>49</v>
      </c>
      <c r="G230" s="5">
        <v>3</v>
      </c>
      <c r="H230" s="5" t="s">
        <v>183</v>
      </c>
      <c r="I230" s="5">
        <v>3</v>
      </c>
      <c r="J230" s="5">
        <v>155212</v>
      </c>
      <c r="K230" s="5">
        <v>155212</v>
      </c>
      <c r="L230" s="5">
        <f>IF(AND(H2148=C2149,B2148=B2149),J2149,"")</f>
        <v>155296</v>
      </c>
      <c r="M230" s="2">
        <f>VLOOKUP(F2148,Sheet2!$A$2:$B$500,2,FALSE)</f>
        <v>47.94</v>
      </c>
    </row>
    <row r="231" ht="15.75" customHeight="1" spans="1:13">
      <c r="A231" s="5">
        <v>5525</v>
      </c>
      <c r="B231" s="5" t="s">
        <v>200</v>
      </c>
      <c r="C231" s="5" t="s">
        <v>183</v>
      </c>
      <c r="D231" s="5">
        <v>3</v>
      </c>
      <c r="E231" s="2">
        <f>IF(B2149=B2148,E2148+1,1)</f>
        <v>45</v>
      </c>
      <c r="F231" s="5" t="s">
        <v>47</v>
      </c>
      <c r="G231" s="5">
        <v>4</v>
      </c>
      <c r="H231" s="5" t="s">
        <v>184</v>
      </c>
      <c r="I231" s="5">
        <v>3</v>
      </c>
      <c r="J231" s="5">
        <v>155296</v>
      </c>
      <c r="K231" s="5">
        <v>155296</v>
      </c>
      <c r="L231" s="5">
        <f>IF(AND(H2149=C2150,B2149=B2150),J2150,"")</f>
        <v>155566</v>
      </c>
      <c r="M231" s="2">
        <f>VLOOKUP(F2149,Sheet2!$A$2:$B$500,2,FALSE)</f>
        <v>45.27</v>
      </c>
    </row>
    <row r="232" ht="15.75" customHeight="1" spans="1:13">
      <c r="A232" s="5">
        <v>5526</v>
      </c>
      <c r="B232" s="5" t="s">
        <v>200</v>
      </c>
      <c r="C232" s="5" t="s">
        <v>184</v>
      </c>
      <c r="D232" s="5">
        <v>3</v>
      </c>
      <c r="E232" s="2">
        <f>IF(B2150=B2149,E2149+1,1)</f>
        <v>46</v>
      </c>
      <c r="F232" s="5" t="s">
        <v>45</v>
      </c>
      <c r="G232" s="5">
        <v>3</v>
      </c>
      <c r="H232" s="5" t="s">
        <v>185</v>
      </c>
      <c r="I232" s="5">
        <v>3</v>
      </c>
      <c r="J232" s="5">
        <v>155566</v>
      </c>
      <c r="K232" s="5">
        <v>155566</v>
      </c>
      <c r="L232" s="5">
        <f>IF(AND(H2150=C2151,B2150=B2151),J2151,"")</f>
        <v>155718</v>
      </c>
      <c r="M232" s="2">
        <f>VLOOKUP(F2150,Sheet2!$A$2:$B$500,2,FALSE)</f>
        <v>39.85</v>
      </c>
    </row>
    <row r="233" ht="15.75" customHeight="1" spans="1:13">
      <c r="A233" s="5">
        <v>5527</v>
      </c>
      <c r="B233" s="5" t="s">
        <v>200</v>
      </c>
      <c r="C233" s="5" t="s">
        <v>185</v>
      </c>
      <c r="D233" s="5">
        <v>3</v>
      </c>
      <c r="E233" s="2">
        <f>IF(B2151=B2150,E2150+1,1)</f>
        <v>47</v>
      </c>
      <c r="F233" s="5" t="s">
        <v>43</v>
      </c>
      <c r="G233" s="5">
        <v>3</v>
      </c>
      <c r="H233" s="5" t="s">
        <v>186</v>
      </c>
      <c r="I233" s="5">
        <v>2</v>
      </c>
      <c r="J233" s="5">
        <v>155718</v>
      </c>
      <c r="K233" s="5">
        <v>155718</v>
      </c>
      <c r="L233" s="5">
        <f>IF(AND(H2151=C2152,B2151=B2152),J2152,"")</f>
        <v>155906</v>
      </c>
      <c r="M233" s="2">
        <f>VLOOKUP(F2151,Sheet2!$A$2:$B$500,2,FALSE)</f>
        <v>36.35</v>
      </c>
    </row>
    <row r="234" ht="15.75" customHeight="1" spans="1:13">
      <c r="A234" s="5">
        <v>5528</v>
      </c>
      <c r="B234" s="5" t="s">
        <v>200</v>
      </c>
      <c r="C234" s="5" t="s">
        <v>186</v>
      </c>
      <c r="D234" s="5">
        <v>2</v>
      </c>
      <c r="E234" s="2">
        <f>IF(B2152=B2151,E2151+1,1)</f>
        <v>48</v>
      </c>
      <c r="F234" s="5" t="s">
        <v>41</v>
      </c>
      <c r="G234" s="5">
        <v>1</v>
      </c>
      <c r="H234" s="5" t="s">
        <v>187</v>
      </c>
      <c r="I234" s="5">
        <v>2</v>
      </c>
      <c r="J234" s="5">
        <v>155906</v>
      </c>
      <c r="K234" s="5">
        <v>155906</v>
      </c>
      <c r="L234" s="5">
        <f>IF(AND(H2152=C2153,B2152=B2153),J2153,"")</f>
        <v>156048</v>
      </c>
      <c r="M234" s="2">
        <f>VLOOKUP(F2152,Sheet2!$A$2:$B$500,2,FALSE)</f>
        <v>32.24</v>
      </c>
    </row>
    <row r="235" ht="15.75" customHeight="1" spans="1:13">
      <c r="A235" s="5">
        <v>5529</v>
      </c>
      <c r="B235" s="5" t="s">
        <v>200</v>
      </c>
      <c r="C235" s="5" t="s">
        <v>187</v>
      </c>
      <c r="D235" s="5">
        <v>2</v>
      </c>
      <c r="E235" s="2">
        <f>IF(B2153=B2152,E2152+1,1)</f>
        <v>49</v>
      </c>
      <c r="F235" s="5" t="s">
        <v>39</v>
      </c>
      <c r="G235" s="5">
        <v>3</v>
      </c>
      <c r="H235" s="5" t="s">
        <v>188</v>
      </c>
      <c r="I235" s="5">
        <v>2</v>
      </c>
      <c r="J235" s="5">
        <v>156048</v>
      </c>
      <c r="K235" s="5">
        <v>156048</v>
      </c>
      <c r="L235" s="5">
        <f>IF(AND(H2153=C2154,B2153=B2154),J2154,"")</f>
        <v>156132</v>
      </c>
      <c r="M235" s="2">
        <f>VLOOKUP(F2153,Sheet2!$A$2:$B$500,2,FALSE)</f>
        <v>29.84</v>
      </c>
    </row>
    <row r="236" ht="15.75" customHeight="1" spans="1:13">
      <c r="A236" s="5">
        <v>5530</v>
      </c>
      <c r="B236" s="5" t="s">
        <v>200</v>
      </c>
      <c r="C236" s="5" t="s">
        <v>188</v>
      </c>
      <c r="D236" s="5">
        <v>2</v>
      </c>
      <c r="E236" s="2">
        <f>IF(B2154=B2153,E2153+1,1)</f>
        <v>50</v>
      </c>
      <c r="F236" s="5" t="s">
        <v>37</v>
      </c>
      <c r="G236" s="5">
        <v>3</v>
      </c>
      <c r="H236" s="5" t="s">
        <v>189</v>
      </c>
      <c r="I236" s="5">
        <v>2</v>
      </c>
      <c r="J236" s="5">
        <v>156132</v>
      </c>
      <c r="K236" s="5">
        <v>156132</v>
      </c>
      <c r="L236" s="5">
        <f>IF(AND(H2154=C2155,B2154=B2155),J2155,"")</f>
        <v>156252</v>
      </c>
      <c r="M236" s="2">
        <f>VLOOKUP(F2154,Sheet2!$A$2:$B$500,2,FALSE)</f>
        <v>27.24</v>
      </c>
    </row>
    <row r="237" ht="15.75" customHeight="1" spans="1:13">
      <c r="A237" s="5">
        <v>5531</v>
      </c>
      <c r="B237" s="5" t="s">
        <v>200</v>
      </c>
      <c r="C237" s="5" t="s">
        <v>189</v>
      </c>
      <c r="D237" s="5">
        <v>2</v>
      </c>
      <c r="E237" s="2">
        <f>IF(B2155=B2154,E2154+1,1)</f>
        <v>51</v>
      </c>
      <c r="F237" s="5" t="s">
        <v>35</v>
      </c>
      <c r="G237" s="5">
        <v>1</v>
      </c>
      <c r="H237" s="5" t="s">
        <v>190</v>
      </c>
      <c r="I237" s="5">
        <v>3</v>
      </c>
      <c r="J237" s="5">
        <v>156252</v>
      </c>
      <c r="K237" s="5">
        <v>156252</v>
      </c>
      <c r="L237" s="5">
        <f>IF(AND(H2155=C2156,B2155=B2156),J2156,"")</f>
        <v>156408</v>
      </c>
      <c r="M237" s="2">
        <f>VLOOKUP(F2155,Sheet2!$A$2:$B$500,2,FALSE)</f>
        <v>24.1</v>
      </c>
    </row>
    <row r="238" ht="15.75" customHeight="1" spans="1:13">
      <c r="A238" s="5">
        <v>5532</v>
      </c>
      <c r="B238" s="5" t="s">
        <v>200</v>
      </c>
      <c r="C238" s="5" t="s">
        <v>190</v>
      </c>
      <c r="D238" s="5">
        <v>3</v>
      </c>
      <c r="E238" s="2">
        <f>IF(B2156=B2155,E2155+1,1)</f>
        <v>52</v>
      </c>
      <c r="F238" s="5" t="s">
        <v>33</v>
      </c>
      <c r="G238" s="5">
        <v>3</v>
      </c>
      <c r="H238" s="5" t="s">
        <v>191</v>
      </c>
      <c r="I238" s="5">
        <v>2</v>
      </c>
      <c r="J238" s="5">
        <v>156408</v>
      </c>
      <c r="K238" s="5">
        <v>156408</v>
      </c>
      <c r="L238" s="5">
        <f>IF(AND(H2156=C2157,B2156=B2157),J2157,"")</f>
        <v>156648</v>
      </c>
      <c r="M238" s="2">
        <f>VLOOKUP(F2156,Sheet2!$A$2:$B$500,2,FALSE)</f>
        <v>20.2</v>
      </c>
    </row>
    <row r="239" ht="15.75" customHeight="1" spans="1:13">
      <c r="A239" s="5">
        <v>5533</v>
      </c>
      <c r="B239" s="5" t="s">
        <v>200</v>
      </c>
      <c r="C239" s="5" t="s">
        <v>191</v>
      </c>
      <c r="D239" s="5">
        <v>2</v>
      </c>
      <c r="E239" s="2">
        <f>IF(B2157=B2156,E2156+1,1)</f>
        <v>53</v>
      </c>
      <c r="F239" s="5" t="s">
        <v>31</v>
      </c>
      <c r="G239" s="5">
        <v>2</v>
      </c>
      <c r="H239" s="5" t="s">
        <v>192</v>
      </c>
      <c r="I239" s="5">
        <v>2</v>
      </c>
      <c r="J239" s="5">
        <v>156648</v>
      </c>
      <c r="K239" s="5">
        <v>156648</v>
      </c>
      <c r="L239" s="5">
        <f>IF(AND(H2157=C2158,B2157=B2158),J2158,"")</f>
        <v>156690</v>
      </c>
      <c r="M239" s="2">
        <f>VLOOKUP(F2157,Sheet2!$A$2:$B$500,2,FALSE)</f>
        <v>17.2</v>
      </c>
    </row>
    <row r="240" ht="15.75" customHeight="1" spans="1:13">
      <c r="A240" s="5">
        <v>5534</v>
      </c>
      <c r="B240" s="5" t="s">
        <v>200</v>
      </c>
      <c r="C240" s="5" t="s">
        <v>192</v>
      </c>
      <c r="D240" s="5">
        <v>2</v>
      </c>
      <c r="E240" s="2">
        <f>IF(B2158=B2157,E2157+1,1)</f>
        <v>54</v>
      </c>
      <c r="F240" s="5" t="s">
        <v>29</v>
      </c>
      <c r="G240" s="5">
        <v>3</v>
      </c>
      <c r="H240" s="5" t="s">
        <v>193</v>
      </c>
      <c r="I240" s="5">
        <v>2</v>
      </c>
      <c r="J240" s="5">
        <v>156690</v>
      </c>
      <c r="K240" s="5">
        <v>156690</v>
      </c>
      <c r="L240" s="5">
        <f>IF(AND(H2158=C2159,B2158=B2159),J2159,"")</f>
        <v>156844</v>
      </c>
      <c r="M240" s="2">
        <f>VLOOKUP(F2158,Sheet2!$A$2:$B$500,2,FALSE)</f>
        <v>15.9</v>
      </c>
    </row>
    <row r="241" ht="15.75" customHeight="1" spans="1:13">
      <c r="A241" s="5">
        <v>5535</v>
      </c>
      <c r="B241" s="5" t="s">
        <v>200</v>
      </c>
      <c r="C241" s="5" t="s">
        <v>193</v>
      </c>
      <c r="D241" s="5">
        <v>2</v>
      </c>
      <c r="E241" s="2">
        <f>IF(B2159=B2158,E2158+1,1)</f>
        <v>55</v>
      </c>
      <c r="F241" s="5" t="s">
        <v>27</v>
      </c>
      <c r="G241" s="5">
        <v>2</v>
      </c>
      <c r="H241" s="5" t="s">
        <v>194</v>
      </c>
      <c r="I241" s="5">
        <v>3</v>
      </c>
      <c r="J241" s="5">
        <v>156844</v>
      </c>
      <c r="K241" s="5">
        <v>156844</v>
      </c>
      <c r="L241" s="5">
        <f>IF(AND(H2159=C2160,B2159=B2160),J2160,"")</f>
        <v>157042</v>
      </c>
      <c r="M241" s="2">
        <f>VLOOKUP(F2159,Sheet2!$A$2:$B$500,2,FALSE)</f>
        <v>12.3</v>
      </c>
    </row>
    <row r="242" ht="15.75" customHeight="1" spans="1:13">
      <c r="A242" s="5">
        <v>5536</v>
      </c>
      <c r="B242" s="5" t="s">
        <v>200</v>
      </c>
      <c r="C242" s="5" t="s">
        <v>194</v>
      </c>
      <c r="D242" s="5">
        <v>3</v>
      </c>
      <c r="E242" s="2">
        <f>IF(B2160=B2159,E2159+1,1)</f>
        <v>56</v>
      </c>
      <c r="F242" s="5" t="s">
        <v>25</v>
      </c>
      <c r="G242" s="5">
        <v>3</v>
      </c>
      <c r="H242" s="5" t="s">
        <v>195</v>
      </c>
      <c r="I242" s="5">
        <v>3</v>
      </c>
      <c r="J242" s="5">
        <v>157042</v>
      </c>
      <c r="K242" s="5">
        <v>157042</v>
      </c>
      <c r="L242" s="5">
        <f>IF(AND(H2160=C2161,B2160=B2161),J2161,"")</f>
        <v>157158</v>
      </c>
      <c r="M242" s="2">
        <f>VLOOKUP(F2160,Sheet2!$A$2:$B$500,2,FALSE)</f>
        <v>10.3</v>
      </c>
    </row>
    <row r="243" ht="15.75" customHeight="1" spans="1:13">
      <c r="A243" s="5">
        <v>5537</v>
      </c>
      <c r="B243" s="5" t="s">
        <v>200</v>
      </c>
      <c r="C243" s="5" t="s">
        <v>195</v>
      </c>
      <c r="D243" s="5">
        <v>3</v>
      </c>
      <c r="E243" s="2">
        <f>IF(B2161=B2160,E2160+1,1)</f>
        <v>57</v>
      </c>
      <c r="F243" s="5" t="s">
        <v>23</v>
      </c>
      <c r="G243" s="5">
        <v>4</v>
      </c>
      <c r="H243" s="5" t="s">
        <v>196</v>
      </c>
      <c r="I243" s="5">
        <v>4</v>
      </c>
      <c r="J243" s="5">
        <v>157158</v>
      </c>
      <c r="K243" s="5">
        <v>157278</v>
      </c>
      <c r="L243" s="5">
        <f>IF(AND(H2161=C2162,B2161=B2162),J2162,"")</f>
        <v>157410</v>
      </c>
      <c r="M243" s="2">
        <f>VLOOKUP(F2161,Sheet2!$A$2:$B$500,2,FALSE)</f>
        <v>7.48</v>
      </c>
    </row>
    <row r="244" ht="15.75" customHeight="1" spans="1:13">
      <c r="A244" s="5">
        <v>5538</v>
      </c>
      <c r="B244" s="5" t="s">
        <v>200</v>
      </c>
      <c r="C244" s="5" t="s">
        <v>196</v>
      </c>
      <c r="D244" s="5">
        <v>4</v>
      </c>
      <c r="E244" s="2">
        <f>IF(B2162=B2161,E2161+1,1)</f>
        <v>58</v>
      </c>
      <c r="F244" s="5" t="s">
        <v>21</v>
      </c>
      <c r="G244" s="5">
        <v>4</v>
      </c>
      <c r="H244" s="5" t="s">
        <v>197</v>
      </c>
      <c r="I244" s="5">
        <v>4</v>
      </c>
      <c r="J244" s="5">
        <v>157410</v>
      </c>
      <c r="K244" s="5">
        <v>157410</v>
      </c>
      <c r="L244" s="5">
        <f>IF(AND(H2162=C2163,B2162=B2163),J2163,"")</f>
        <v>157514</v>
      </c>
      <c r="M244" s="2">
        <f>VLOOKUP(F2162,Sheet2!$A$2:$B$500,2,FALSE)</f>
        <v>6.08</v>
      </c>
    </row>
    <row r="245" ht="15.75" customHeight="1" spans="1:13">
      <c r="A245" s="5">
        <v>5539</v>
      </c>
      <c r="B245" s="5" t="s">
        <v>200</v>
      </c>
      <c r="C245" s="5" t="s">
        <v>197</v>
      </c>
      <c r="D245" s="5">
        <v>4</v>
      </c>
      <c r="E245" s="2">
        <f>IF(B2163=B2162,E2162+1,1)</f>
        <v>59</v>
      </c>
      <c r="F245" s="5" t="s">
        <v>19</v>
      </c>
      <c r="G245" s="5">
        <v>4</v>
      </c>
      <c r="H245" s="5" t="s">
        <v>198</v>
      </c>
      <c r="I245" s="5">
        <v>4</v>
      </c>
      <c r="J245" s="5">
        <v>157514</v>
      </c>
      <c r="K245" s="5">
        <v>157514</v>
      </c>
      <c r="L245" s="5">
        <f>IF(AND(H2163=C2164,B2163=B2164),J2164,"")</f>
        <v>157740</v>
      </c>
      <c r="M245" s="2">
        <f>VLOOKUP(F2163,Sheet2!$A$2:$B$500,2,FALSE)</f>
        <v>4.44</v>
      </c>
    </row>
    <row r="246" ht="15.75" customHeight="1" spans="1:13">
      <c r="A246" s="5">
        <v>5540</v>
      </c>
      <c r="B246" s="5" t="s">
        <v>200</v>
      </c>
      <c r="C246" s="5" t="s">
        <v>198</v>
      </c>
      <c r="D246" s="5">
        <v>4</v>
      </c>
      <c r="E246" s="2">
        <f>IF(B2164=B2163,E2163+1,1)</f>
        <v>60</v>
      </c>
      <c r="F246" s="5" t="s">
        <v>17</v>
      </c>
      <c r="G246" s="5">
        <v>4</v>
      </c>
      <c r="H246" s="5" t="s">
        <v>199</v>
      </c>
      <c r="I246" s="5">
        <v>3</v>
      </c>
      <c r="J246" s="5">
        <v>157740</v>
      </c>
      <c r="K246" s="5">
        <v>157740</v>
      </c>
      <c r="L246" s="5">
        <f>IF(AND(H2164=C2165,B2164=B2165),J2165,"")</f>
        <v>158574</v>
      </c>
      <c r="M246" s="2">
        <f>VLOOKUP(F2164,Sheet2!$A$2:$B$500,2,FALSE)</f>
        <v>2.7</v>
      </c>
    </row>
    <row r="247" ht="15.75" customHeight="1" spans="1:13">
      <c r="A247" s="5">
        <v>5541</v>
      </c>
      <c r="B247" s="5" t="s">
        <v>200</v>
      </c>
      <c r="C247" s="5" t="s">
        <v>199</v>
      </c>
      <c r="D247" s="5">
        <v>3</v>
      </c>
      <c r="E247" s="2">
        <f>IF(B2165=B2164,E2164+1,1)</f>
        <v>61</v>
      </c>
      <c r="F247" s="5" t="s">
        <v>15</v>
      </c>
      <c r="G247" s="5">
        <v>7</v>
      </c>
      <c r="H247" s="5"/>
      <c r="I247" s="5"/>
      <c r="J247" s="5">
        <v>158574</v>
      </c>
      <c r="K247" s="5">
        <v>158574</v>
      </c>
      <c r="L247" s="5" t="str">
        <f>IF(AND(H2165=C2166,B2165=B2166),J2166,"")</f>
        <v/>
      </c>
      <c r="M247" s="2">
        <f>VLOOKUP(F2165,Sheet2!$A$2:$B$500,2,FALSE)</f>
        <v>0</v>
      </c>
    </row>
    <row r="248" ht="15.75" customHeight="1" spans="1:13">
      <c r="A248" s="5">
        <v>2915</v>
      </c>
      <c r="B248" s="5" t="s">
        <v>201</v>
      </c>
      <c r="C248" s="5" t="s">
        <v>14</v>
      </c>
      <c r="D248" s="5" t="s">
        <v>14</v>
      </c>
      <c r="E248" s="2">
        <f>IF(B2166=B2165,E2165+1,1)</f>
        <v>1</v>
      </c>
      <c r="F248" s="5" t="s">
        <v>202</v>
      </c>
      <c r="G248" s="5">
        <v>3</v>
      </c>
      <c r="H248" s="5" t="s">
        <v>203</v>
      </c>
      <c r="I248" s="5">
        <v>3</v>
      </c>
      <c r="J248" s="5">
        <v>14400</v>
      </c>
      <c r="K248" s="5">
        <v>14400</v>
      </c>
      <c r="L248" s="5">
        <f>IF(AND(H2166=C2167,B2166=B2167),J2167,"")</f>
        <v>14710</v>
      </c>
      <c r="M248" s="2">
        <f>VLOOKUP(F2166,Sheet2!$A$2:$B$500,2,FALSE)</f>
        <v>1975.75</v>
      </c>
    </row>
    <row r="249" ht="15.75" customHeight="1" spans="1:13">
      <c r="A249" s="5">
        <v>2916</v>
      </c>
      <c r="B249" s="5" t="s">
        <v>201</v>
      </c>
      <c r="C249" s="5" t="s">
        <v>203</v>
      </c>
      <c r="D249" s="5">
        <v>3</v>
      </c>
      <c r="E249" s="2">
        <f>IF(B2167=B2166,E2166+1,1)</f>
        <v>2</v>
      </c>
      <c r="F249" s="5" t="s">
        <v>204</v>
      </c>
      <c r="G249" s="5">
        <v>5</v>
      </c>
      <c r="H249" s="5" t="s">
        <v>205</v>
      </c>
      <c r="I249" s="5">
        <v>3</v>
      </c>
      <c r="J249" s="5">
        <v>14710</v>
      </c>
      <c r="K249" s="5">
        <v>14710</v>
      </c>
      <c r="L249" s="5">
        <f>IF(AND(H2167=C2168,B2167=B2168),J2168,"")</f>
        <v>14838</v>
      </c>
      <c r="M249" s="2">
        <f>VLOOKUP(F2167,Sheet2!$A$2:$B$500,2,FALSE)</f>
        <v>1974.53</v>
      </c>
    </row>
    <row r="250" ht="15.75" customHeight="1" spans="1:13">
      <c r="A250" s="5">
        <v>2917</v>
      </c>
      <c r="B250" s="5" t="s">
        <v>201</v>
      </c>
      <c r="C250" s="5" t="s">
        <v>205</v>
      </c>
      <c r="D250" s="5">
        <v>3</v>
      </c>
      <c r="E250" s="2">
        <f>IF(B2168=B2167,E2167+1,1)</f>
        <v>3</v>
      </c>
      <c r="F250" s="5" t="s">
        <v>206</v>
      </c>
      <c r="G250" s="5">
        <v>3</v>
      </c>
      <c r="H250" s="5" t="s">
        <v>207</v>
      </c>
      <c r="I250" s="5">
        <v>1</v>
      </c>
      <c r="J250" s="5">
        <v>14838</v>
      </c>
      <c r="K250" s="5">
        <v>14838</v>
      </c>
      <c r="L250" s="5">
        <f>IF(AND(H2168=C2169,B2168=B2169),J2169,"")</f>
        <v>14976</v>
      </c>
      <c r="M250" s="2">
        <f>VLOOKUP(F2168,Sheet2!$A$2:$B$500,2,FALSE)</f>
        <v>1973.67</v>
      </c>
    </row>
    <row r="251" ht="15.75" customHeight="1" spans="1:13">
      <c r="A251" s="5">
        <v>2918</v>
      </c>
      <c r="B251" s="5" t="s">
        <v>201</v>
      </c>
      <c r="C251" s="5" t="s">
        <v>207</v>
      </c>
      <c r="D251" s="5">
        <v>1</v>
      </c>
      <c r="E251" s="2">
        <f>IF(B2169=B2168,E2168+1,1)</f>
        <v>4</v>
      </c>
      <c r="F251" s="5" t="s">
        <v>208</v>
      </c>
      <c r="G251" s="5">
        <v>1</v>
      </c>
      <c r="H251" s="5" t="s">
        <v>209</v>
      </c>
      <c r="I251" s="5">
        <v>1</v>
      </c>
      <c r="J251" s="5">
        <v>14976</v>
      </c>
      <c r="K251" s="5">
        <v>14976</v>
      </c>
      <c r="L251" s="5">
        <f>IF(AND(H2169=C2170,B2169=B2170),J2170,"")</f>
        <v>15050</v>
      </c>
      <c r="M251" s="2">
        <f>VLOOKUP(F2169,Sheet2!$A$2:$B$500,2,FALSE)</f>
        <v>1971.71</v>
      </c>
    </row>
    <row r="252" ht="15.75" customHeight="1" spans="1:13">
      <c r="A252" s="5">
        <v>2919</v>
      </c>
      <c r="B252" s="5" t="s">
        <v>201</v>
      </c>
      <c r="C252" s="5" t="s">
        <v>209</v>
      </c>
      <c r="D252" s="5">
        <v>1</v>
      </c>
      <c r="E252" s="2">
        <f>IF(B2170=B2169,E2169+1,1)</f>
        <v>5</v>
      </c>
      <c r="F252" s="5" t="s">
        <v>210</v>
      </c>
      <c r="G252" s="5">
        <v>3</v>
      </c>
      <c r="H252" s="5" t="s">
        <v>211</v>
      </c>
      <c r="I252" s="5">
        <v>3</v>
      </c>
      <c r="J252" s="5">
        <v>15050</v>
      </c>
      <c r="K252" s="5">
        <v>15050</v>
      </c>
      <c r="L252" s="5">
        <f>IF(AND(H2170=C2171,B2170=B2171),J2171,"")</f>
        <v>15114</v>
      </c>
      <c r="M252" s="2">
        <f>VLOOKUP(F2170,Sheet2!$A$2:$B$500,2,FALSE)</f>
        <v>1970.22</v>
      </c>
    </row>
    <row r="253" ht="15.75" customHeight="1" spans="1:13">
      <c r="A253" s="5">
        <v>2920</v>
      </c>
      <c r="B253" s="5" t="s">
        <v>201</v>
      </c>
      <c r="C253" s="5" t="s">
        <v>211</v>
      </c>
      <c r="D253" s="5">
        <v>3</v>
      </c>
      <c r="E253" s="2">
        <f>IF(B2171=B2170,E2170+1,1)</f>
        <v>6</v>
      </c>
      <c r="F253" s="5" t="s">
        <v>212</v>
      </c>
      <c r="G253" s="5">
        <v>3</v>
      </c>
      <c r="H253" s="5" t="s">
        <v>213</v>
      </c>
      <c r="I253" s="5">
        <v>3</v>
      </c>
      <c r="J253" s="5">
        <v>15114</v>
      </c>
      <c r="K253" s="5">
        <v>15114</v>
      </c>
      <c r="L253" s="5">
        <f>IF(AND(H2171=C2172,B2171=B2172),J2172,"")</f>
        <v>15188</v>
      </c>
      <c r="M253" s="2">
        <f>VLOOKUP(F2171,Sheet2!$A$2:$B$500,2,FALSE)</f>
        <v>1969.68</v>
      </c>
    </row>
    <row r="254" ht="15.75" customHeight="1" spans="1:13">
      <c r="A254" s="5">
        <v>2921</v>
      </c>
      <c r="B254" s="5" t="s">
        <v>201</v>
      </c>
      <c r="C254" s="5" t="s">
        <v>213</v>
      </c>
      <c r="D254" s="5">
        <v>3</v>
      </c>
      <c r="E254" s="2">
        <f>IF(B2172=B2171,E2171+1,1)</f>
        <v>7</v>
      </c>
      <c r="F254" s="5" t="s">
        <v>214</v>
      </c>
      <c r="G254" s="5">
        <v>3</v>
      </c>
      <c r="H254" s="5" t="s">
        <v>215</v>
      </c>
      <c r="I254" s="5">
        <v>3</v>
      </c>
      <c r="J254" s="5">
        <v>15188</v>
      </c>
      <c r="K254" s="5">
        <v>15188</v>
      </c>
      <c r="L254" s="5">
        <f>IF(AND(H2172=C2173,B2172=B2173),J2173,"")</f>
        <v>15318</v>
      </c>
      <c r="M254" s="2">
        <f>VLOOKUP(F2172,Sheet2!$A$2:$B$500,2,FALSE)</f>
        <v>1968.1</v>
      </c>
    </row>
    <row r="255" ht="15.75" customHeight="1" spans="1:13">
      <c r="A255" s="5">
        <v>2922</v>
      </c>
      <c r="B255" s="5" t="s">
        <v>201</v>
      </c>
      <c r="C255" s="5" t="s">
        <v>215</v>
      </c>
      <c r="D255" s="5">
        <v>3</v>
      </c>
      <c r="E255" s="2">
        <f>IF(B2173=B2172,E2172+1,1)</f>
        <v>8</v>
      </c>
      <c r="F255" s="5" t="s">
        <v>216</v>
      </c>
      <c r="G255" s="5">
        <v>3</v>
      </c>
      <c r="H255" s="5" t="s">
        <v>217</v>
      </c>
      <c r="I255" s="5">
        <v>3</v>
      </c>
      <c r="J255" s="5">
        <v>15318</v>
      </c>
      <c r="K255" s="5">
        <v>15438</v>
      </c>
      <c r="L255" s="5">
        <f>IF(AND(H2173=C2174,B2173=B2174),J2174,"")</f>
        <v>15570</v>
      </c>
      <c r="M255" s="2">
        <f>VLOOKUP(F2173,Sheet2!$A$2:$B$500,2,FALSE)</f>
        <v>1966.9</v>
      </c>
    </row>
    <row r="256" ht="15.75" customHeight="1" spans="1:13">
      <c r="A256" s="5">
        <v>2923</v>
      </c>
      <c r="B256" s="5" t="s">
        <v>201</v>
      </c>
      <c r="C256" s="5" t="s">
        <v>217</v>
      </c>
      <c r="D256" s="5">
        <v>3</v>
      </c>
      <c r="E256" s="2">
        <f>IF(B2174=B2173,E2173+1,1)</f>
        <v>9</v>
      </c>
      <c r="F256" s="5" t="s">
        <v>218</v>
      </c>
      <c r="G256" s="5">
        <v>3</v>
      </c>
      <c r="H256" s="5" t="s">
        <v>219</v>
      </c>
      <c r="I256" s="5">
        <v>1</v>
      </c>
      <c r="J256" s="5">
        <v>15570</v>
      </c>
      <c r="K256" s="5">
        <v>15570</v>
      </c>
      <c r="L256" s="5">
        <f>IF(AND(H2174=C2175,B2174=B2175),J2175,"")</f>
        <v>15654</v>
      </c>
      <c r="M256" s="2">
        <f>VLOOKUP(F2174,Sheet2!$A$2:$B$500,2,FALSE)</f>
        <v>1965.63</v>
      </c>
    </row>
    <row r="257" ht="15.75" customHeight="1" spans="1:13">
      <c r="A257" s="5">
        <v>2924</v>
      </c>
      <c r="B257" s="5" t="s">
        <v>201</v>
      </c>
      <c r="C257" s="5" t="s">
        <v>219</v>
      </c>
      <c r="D257" s="5">
        <v>1</v>
      </c>
      <c r="E257" s="2">
        <f>IF(B2175=B2174,E2174+1,1)</f>
        <v>10</v>
      </c>
      <c r="F257" s="5" t="s">
        <v>220</v>
      </c>
      <c r="G257" s="5">
        <v>3</v>
      </c>
      <c r="H257" s="5" t="s">
        <v>221</v>
      </c>
      <c r="I257" s="5">
        <v>3</v>
      </c>
      <c r="J257" s="5">
        <v>15654</v>
      </c>
      <c r="K257" s="5">
        <v>15654</v>
      </c>
      <c r="L257" s="5">
        <f>IF(AND(H2175=C2176,B2175=B2176),J2176,"")</f>
        <v>15798</v>
      </c>
      <c r="M257" s="2">
        <f>VLOOKUP(F2175,Sheet2!$A$2:$B$500,2,FALSE)</f>
        <v>1963.04</v>
      </c>
    </row>
    <row r="258" ht="15.75" customHeight="1" spans="1:13">
      <c r="A258" s="5">
        <v>2925</v>
      </c>
      <c r="B258" s="5" t="s">
        <v>201</v>
      </c>
      <c r="C258" s="5" t="s">
        <v>221</v>
      </c>
      <c r="D258" s="5">
        <v>3</v>
      </c>
      <c r="E258" s="2">
        <f>IF(B2176=B2175,E2175+1,1)</f>
        <v>11</v>
      </c>
      <c r="F258" s="5" t="s">
        <v>222</v>
      </c>
      <c r="G258" s="5">
        <v>5</v>
      </c>
      <c r="H258" s="5" t="s">
        <v>223</v>
      </c>
      <c r="I258" s="5">
        <v>3</v>
      </c>
      <c r="J258" s="5">
        <v>15798</v>
      </c>
      <c r="K258" s="5">
        <v>15798</v>
      </c>
      <c r="L258" s="5">
        <f>IF(AND(H2176=C2177,B2176=B2177),J2177,"")</f>
        <v>15880</v>
      </c>
      <c r="M258" s="2">
        <f>VLOOKUP(F2176,Sheet2!$A$2:$B$500,2,FALSE)</f>
        <v>1960.36</v>
      </c>
    </row>
    <row r="259" ht="15.75" customHeight="1" spans="1:13">
      <c r="A259" s="5">
        <v>2926</v>
      </c>
      <c r="B259" s="5" t="s">
        <v>201</v>
      </c>
      <c r="C259" s="5" t="s">
        <v>223</v>
      </c>
      <c r="D259" s="5">
        <v>3</v>
      </c>
      <c r="E259" s="2">
        <f>IF(B2177=B2176,E2176+1,1)</f>
        <v>12</v>
      </c>
      <c r="F259" s="5" t="s">
        <v>224</v>
      </c>
      <c r="G259" s="5">
        <v>3</v>
      </c>
      <c r="H259" s="5" t="s">
        <v>225</v>
      </c>
      <c r="I259" s="5">
        <v>3</v>
      </c>
      <c r="J259" s="5">
        <v>15880</v>
      </c>
      <c r="K259" s="5">
        <v>15880</v>
      </c>
      <c r="L259" s="5">
        <f>IF(AND(H2177=C2178,B2177=B2178),J2178,"")</f>
        <v>16134</v>
      </c>
      <c r="M259" s="2">
        <f>VLOOKUP(F2177,Sheet2!$A$2:$B$500,2,FALSE)</f>
        <v>1957.95</v>
      </c>
    </row>
    <row r="260" ht="15.75" customHeight="1" spans="1:13">
      <c r="A260" s="5">
        <v>2927</v>
      </c>
      <c r="B260" s="5" t="s">
        <v>201</v>
      </c>
      <c r="C260" s="5" t="s">
        <v>225</v>
      </c>
      <c r="D260" s="5">
        <v>3</v>
      </c>
      <c r="E260" s="2">
        <f>IF(B2178=B2177,E2177+1,1)</f>
        <v>13</v>
      </c>
      <c r="F260" s="5" t="s">
        <v>226</v>
      </c>
      <c r="G260" s="5">
        <v>3</v>
      </c>
      <c r="H260" s="5" t="s">
        <v>227</v>
      </c>
      <c r="I260" s="5">
        <v>3</v>
      </c>
      <c r="J260" s="5">
        <v>16134</v>
      </c>
      <c r="K260" s="5">
        <v>16134</v>
      </c>
      <c r="L260" s="5">
        <f>IF(AND(H2178=C2179,B2178=B2179),J2179,"")</f>
        <v>16348</v>
      </c>
      <c r="M260" s="2">
        <f>VLOOKUP(F2178,Sheet2!$A$2:$B$500,2,FALSE)</f>
        <v>1956.45</v>
      </c>
    </row>
    <row r="261" ht="15.75" customHeight="1" spans="1:13">
      <c r="A261" s="5">
        <v>2928</v>
      </c>
      <c r="B261" s="5" t="s">
        <v>201</v>
      </c>
      <c r="C261" s="5" t="s">
        <v>227</v>
      </c>
      <c r="D261" s="5">
        <v>3</v>
      </c>
      <c r="E261" s="2">
        <f>IF(B2179=B2178,E2178+1,1)</f>
        <v>14</v>
      </c>
      <c r="F261" s="5" t="s">
        <v>228</v>
      </c>
      <c r="G261" s="5">
        <v>3</v>
      </c>
      <c r="H261" s="5" t="s">
        <v>229</v>
      </c>
      <c r="I261" s="5">
        <v>3</v>
      </c>
      <c r="J261" s="5">
        <v>16348</v>
      </c>
      <c r="K261" s="5">
        <v>16348</v>
      </c>
      <c r="L261" s="5">
        <f>IF(AND(H2179=C2180,B2179=B2180),J2180,"")</f>
        <v>16424</v>
      </c>
      <c r="M261" s="2">
        <f>VLOOKUP(F2179,Sheet2!$A$2:$B$500,2,FALSE)</f>
        <v>1952.9</v>
      </c>
    </row>
    <row r="262" ht="15.75" customHeight="1" spans="1:13">
      <c r="A262" s="5">
        <v>2929</v>
      </c>
      <c r="B262" s="5" t="s">
        <v>201</v>
      </c>
      <c r="C262" s="5" t="s">
        <v>229</v>
      </c>
      <c r="D262" s="5">
        <v>3</v>
      </c>
      <c r="E262" s="2">
        <f>IF(B2180=B2179,E2179+1,1)</f>
        <v>15</v>
      </c>
      <c r="F262" s="5" t="s">
        <v>230</v>
      </c>
      <c r="G262" s="5">
        <v>3</v>
      </c>
      <c r="H262" s="5" t="s">
        <v>231</v>
      </c>
      <c r="I262" s="5">
        <v>3</v>
      </c>
      <c r="J262" s="5">
        <v>16424</v>
      </c>
      <c r="K262" s="5">
        <v>16424</v>
      </c>
      <c r="L262" s="5">
        <f>IF(AND(H2180=C2181,B2180=B2181),J2181,"")</f>
        <v>16664</v>
      </c>
      <c r="M262" s="2">
        <f>VLOOKUP(F2180,Sheet2!$A$2:$B$500,2,FALSE)</f>
        <v>1951.06</v>
      </c>
    </row>
    <row r="263" ht="15.75" customHeight="1" spans="1:13">
      <c r="A263" s="5">
        <v>2930</v>
      </c>
      <c r="B263" s="5" t="s">
        <v>201</v>
      </c>
      <c r="C263" s="5" t="s">
        <v>231</v>
      </c>
      <c r="D263" s="5">
        <v>3</v>
      </c>
      <c r="E263" s="2">
        <f>IF(B2181=B2180,E2180+1,1)</f>
        <v>16</v>
      </c>
      <c r="F263" s="5" t="s">
        <v>232</v>
      </c>
      <c r="G263" s="5">
        <v>3</v>
      </c>
      <c r="H263" s="5" t="s">
        <v>233</v>
      </c>
      <c r="I263" s="5">
        <v>3</v>
      </c>
      <c r="J263" s="5">
        <v>16664</v>
      </c>
      <c r="K263" s="5">
        <v>16664</v>
      </c>
      <c r="L263" s="5">
        <f>IF(AND(H2181=C2182,B2181=B2182),J2182,"")</f>
        <v>16742</v>
      </c>
      <c r="M263" s="2">
        <f>VLOOKUP(F2181,Sheet2!$A$2:$B$500,2,FALSE)</f>
        <v>1949.19</v>
      </c>
    </row>
    <row r="264" ht="15.75" customHeight="1" spans="1:13">
      <c r="A264" s="5">
        <v>2931</v>
      </c>
      <c r="B264" s="5" t="s">
        <v>201</v>
      </c>
      <c r="C264" s="5" t="s">
        <v>233</v>
      </c>
      <c r="D264" s="5">
        <v>3</v>
      </c>
      <c r="E264" s="2">
        <f>IF(B2182=B2181,E2181+1,1)</f>
        <v>17</v>
      </c>
      <c r="F264" s="5" t="s">
        <v>234</v>
      </c>
      <c r="G264" s="5">
        <v>3</v>
      </c>
      <c r="H264" s="5" t="s">
        <v>235</v>
      </c>
      <c r="I264" s="5">
        <v>3</v>
      </c>
      <c r="J264" s="5">
        <v>16742</v>
      </c>
      <c r="K264" s="5">
        <v>16742</v>
      </c>
      <c r="L264" s="5">
        <f>IF(AND(H2182=C2183,B2182=B2183),J2183,"")</f>
        <v>16822</v>
      </c>
      <c r="M264" s="2">
        <f>VLOOKUP(F2182,Sheet2!$A$2:$B$500,2,FALSE)</f>
        <v>1947.29</v>
      </c>
    </row>
    <row r="265" ht="15.75" customHeight="1" spans="1:13">
      <c r="A265" s="5">
        <v>2932</v>
      </c>
      <c r="B265" s="5" t="s">
        <v>201</v>
      </c>
      <c r="C265" s="5" t="s">
        <v>235</v>
      </c>
      <c r="D265" s="5">
        <v>3</v>
      </c>
      <c r="E265" s="2">
        <f>IF(B2183=B2182,E2182+1,1)</f>
        <v>18</v>
      </c>
      <c r="F265" s="5" t="s">
        <v>236</v>
      </c>
      <c r="G265" s="5">
        <v>3</v>
      </c>
      <c r="H265" s="5" t="s">
        <v>237</v>
      </c>
      <c r="I265" s="5">
        <v>3</v>
      </c>
      <c r="J265" s="5">
        <v>16822</v>
      </c>
      <c r="K265" s="5">
        <v>16822</v>
      </c>
      <c r="L265" s="5">
        <f>IF(AND(H2183=C2184,B2183=B2184),J2184,"")</f>
        <v>16964</v>
      </c>
      <c r="M265" s="2">
        <f>VLOOKUP(F2183,Sheet2!$A$2:$B$500,2,FALSE)</f>
        <v>1945.19</v>
      </c>
    </row>
    <row r="266" ht="15.75" customHeight="1" spans="1:13">
      <c r="A266" s="5">
        <v>2933</v>
      </c>
      <c r="B266" s="5" t="s">
        <v>201</v>
      </c>
      <c r="C266" s="5" t="s">
        <v>237</v>
      </c>
      <c r="D266" s="5">
        <v>3</v>
      </c>
      <c r="E266" s="2">
        <f>IF(B2184=B2183,E2183+1,1)</f>
        <v>19</v>
      </c>
      <c r="F266" s="5" t="s">
        <v>238</v>
      </c>
      <c r="G266" s="5">
        <v>7</v>
      </c>
      <c r="H266" s="5" t="s">
        <v>239</v>
      </c>
      <c r="I266" s="5">
        <v>1</v>
      </c>
      <c r="J266" s="5">
        <v>16964</v>
      </c>
      <c r="K266" s="5">
        <v>17084</v>
      </c>
      <c r="L266" s="5">
        <f>IF(AND(H2184=C2185,B2184=B2185),J2185,"")</f>
        <v>17444</v>
      </c>
      <c r="M266" s="2">
        <f>VLOOKUP(F2184,Sheet2!$A$2:$B$500,2,FALSE)</f>
        <v>1942.73</v>
      </c>
    </row>
    <row r="267" ht="15.75" customHeight="1" spans="1:13">
      <c r="A267" s="5">
        <v>2934</v>
      </c>
      <c r="B267" s="5" t="s">
        <v>201</v>
      </c>
      <c r="C267" s="5" t="s">
        <v>239</v>
      </c>
      <c r="D267" s="5">
        <v>1</v>
      </c>
      <c r="E267" s="2">
        <f>IF(B2185=B2184,E2184+1,1)</f>
        <v>20</v>
      </c>
      <c r="F267" s="5" t="s">
        <v>240</v>
      </c>
      <c r="G267" s="5">
        <v>3</v>
      </c>
      <c r="H267" s="5"/>
      <c r="I267" s="5"/>
      <c r="J267" s="5">
        <v>17444</v>
      </c>
      <c r="K267" s="5">
        <v>17444</v>
      </c>
      <c r="L267" s="5" t="str">
        <f>IF(AND(H2185=C2186,B2185=B2186),J2186,"")</f>
        <v/>
      </c>
      <c r="M267" s="2">
        <f>VLOOKUP(F2185,Sheet2!$A$2:$B$500,2,FALSE)</f>
        <v>1933.3</v>
      </c>
    </row>
    <row r="268" ht="15.75" customHeight="1" spans="1:13">
      <c r="A268" s="5">
        <v>8022</v>
      </c>
      <c r="B268" s="5" t="s">
        <v>241</v>
      </c>
      <c r="C268" s="5" t="s">
        <v>14</v>
      </c>
      <c r="D268" s="5" t="s">
        <v>14</v>
      </c>
      <c r="E268" s="2">
        <f>IF(B2186=B2185,E2185+1,1)</f>
        <v>1</v>
      </c>
      <c r="F268" s="5" t="s">
        <v>202</v>
      </c>
      <c r="G268" s="5">
        <v>3</v>
      </c>
      <c r="H268" s="5" t="s">
        <v>203</v>
      </c>
      <c r="I268" s="5">
        <v>3</v>
      </c>
      <c r="J268" s="5">
        <v>100800</v>
      </c>
      <c r="K268" s="5">
        <v>100800</v>
      </c>
      <c r="L268" s="5">
        <f>IF(AND(H2186=C2187,B2186=B2187),J2187,"")</f>
        <v>101110</v>
      </c>
      <c r="M268" s="2">
        <f>VLOOKUP(F2186,Sheet2!$A$2:$B$500,2,FALSE)</f>
        <v>1975.75</v>
      </c>
    </row>
    <row r="269" ht="15.75" customHeight="1" spans="1:13">
      <c r="A269" s="5">
        <v>8023</v>
      </c>
      <c r="B269" s="5" t="s">
        <v>241</v>
      </c>
      <c r="C269" s="5" t="s">
        <v>203</v>
      </c>
      <c r="D269" s="5">
        <v>3</v>
      </c>
      <c r="E269" s="2">
        <f>IF(B2187=B2186,E2186+1,1)</f>
        <v>2</v>
      </c>
      <c r="F269" s="5" t="s">
        <v>204</v>
      </c>
      <c r="G269" s="5">
        <v>5</v>
      </c>
      <c r="H269" s="5" t="s">
        <v>205</v>
      </c>
      <c r="I269" s="5">
        <v>3</v>
      </c>
      <c r="J269" s="5">
        <v>101110</v>
      </c>
      <c r="K269" s="5">
        <v>101110</v>
      </c>
      <c r="L269" s="5">
        <f>IF(AND(H2187=C2188,B2187=B2188),J2188,"")</f>
        <v>101238</v>
      </c>
      <c r="M269" s="2">
        <f>VLOOKUP(F2187,Sheet2!$A$2:$B$500,2,FALSE)</f>
        <v>1974.53</v>
      </c>
    </row>
    <row r="270" ht="15.75" customHeight="1" spans="1:13">
      <c r="A270" s="5">
        <v>8024</v>
      </c>
      <c r="B270" s="5" t="s">
        <v>241</v>
      </c>
      <c r="C270" s="5" t="s">
        <v>205</v>
      </c>
      <c r="D270" s="5">
        <v>3</v>
      </c>
      <c r="E270" s="2">
        <f>IF(B2188=B2187,E2187+1,1)</f>
        <v>3</v>
      </c>
      <c r="F270" s="5" t="s">
        <v>206</v>
      </c>
      <c r="G270" s="5">
        <v>3</v>
      </c>
      <c r="H270" s="5" t="s">
        <v>207</v>
      </c>
      <c r="I270" s="5">
        <v>1</v>
      </c>
      <c r="J270" s="5">
        <v>101238</v>
      </c>
      <c r="K270" s="5">
        <v>101238</v>
      </c>
      <c r="L270" s="5">
        <f>IF(AND(H2188=C2189,B2188=B2189),J2189,"")</f>
        <v>101376</v>
      </c>
      <c r="M270" s="2">
        <f>VLOOKUP(F2188,Sheet2!$A$2:$B$500,2,FALSE)</f>
        <v>1973.67</v>
      </c>
    </row>
    <row r="271" ht="15.75" customHeight="1" spans="1:13">
      <c r="A271" s="5">
        <v>8025</v>
      </c>
      <c r="B271" s="5" t="s">
        <v>241</v>
      </c>
      <c r="C271" s="5" t="s">
        <v>207</v>
      </c>
      <c r="D271" s="5">
        <v>1</v>
      </c>
      <c r="E271" s="2">
        <f>IF(B2189=B2188,E2188+1,1)</f>
        <v>4</v>
      </c>
      <c r="F271" s="5" t="s">
        <v>208</v>
      </c>
      <c r="G271" s="5">
        <v>1</v>
      </c>
      <c r="H271" s="5" t="s">
        <v>209</v>
      </c>
      <c r="I271" s="5">
        <v>1</v>
      </c>
      <c r="J271" s="5">
        <v>101376</v>
      </c>
      <c r="K271" s="5">
        <v>101376</v>
      </c>
      <c r="L271" s="5">
        <f>IF(AND(H2189=C2190,B2189=B2190),J2190,"")</f>
        <v>101450</v>
      </c>
      <c r="M271" s="2">
        <f>VLOOKUP(F2189,Sheet2!$A$2:$B$500,2,FALSE)</f>
        <v>1971.71</v>
      </c>
    </row>
    <row r="272" ht="15.75" customHeight="1" spans="1:13">
      <c r="A272" s="5">
        <v>8026</v>
      </c>
      <c r="B272" s="5" t="s">
        <v>241</v>
      </c>
      <c r="C272" s="5" t="s">
        <v>209</v>
      </c>
      <c r="D272" s="5">
        <v>1</v>
      </c>
      <c r="E272" s="2">
        <f>IF(B2190=B2189,E2189+1,1)</f>
        <v>5</v>
      </c>
      <c r="F272" s="5" t="s">
        <v>210</v>
      </c>
      <c r="G272" s="5">
        <v>1</v>
      </c>
      <c r="H272" s="5" t="s">
        <v>211</v>
      </c>
      <c r="I272" s="5">
        <v>1</v>
      </c>
      <c r="J272" s="5">
        <v>101450</v>
      </c>
      <c r="K272" s="5">
        <v>101450</v>
      </c>
      <c r="L272" s="5">
        <f>IF(AND(H2190=C2191,B2190=B2191),J2191,"")</f>
        <v>101514</v>
      </c>
      <c r="M272" s="2">
        <f>VLOOKUP(F2190,Sheet2!$A$2:$B$500,2,FALSE)</f>
        <v>1970.22</v>
      </c>
    </row>
    <row r="273" ht="15.75" customHeight="1" spans="1:13">
      <c r="A273" s="5">
        <v>8027</v>
      </c>
      <c r="B273" s="5" t="s">
        <v>241</v>
      </c>
      <c r="C273" s="5" t="s">
        <v>211</v>
      </c>
      <c r="D273" s="5">
        <v>1</v>
      </c>
      <c r="E273" s="2">
        <f>IF(B2191=B2190,E2190+1,1)</f>
        <v>6</v>
      </c>
      <c r="F273" s="5" t="s">
        <v>212</v>
      </c>
      <c r="G273" s="5">
        <v>1</v>
      </c>
      <c r="H273" s="5" t="s">
        <v>213</v>
      </c>
      <c r="I273" s="5">
        <v>1</v>
      </c>
      <c r="J273" s="5">
        <v>101514</v>
      </c>
      <c r="K273" s="5">
        <v>101514</v>
      </c>
      <c r="L273" s="5">
        <f>IF(AND(H2191=C2192,B2191=B2192),J2192,"")</f>
        <v>101588</v>
      </c>
      <c r="M273" s="2">
        <f>VLOOKUP(F2191,Sheet2!$A$2:$B$500,2,FALSE)</f>
        <v>1969.68</v>
      </c>
    </row>
    <row r="274" ht="15.75" customHeight="1" spans="1:13">
      <c r="A274" s="5">
        <v>8028</v>
      </c>
      <c r="B274" s="5" t="s">
        <v>241</v>
      </c>
      <c r="C274" s="5" t="s">
        <v>213</v>
      </c>
      <c r="D274" s="5">
        <v>1</v>
      </c>
      <c r="E274" s="2">
        <f>IF(B2192=B2191,E2191+1,1)</f>
        <v>7</v>
      </c>
      <c r="F274" s="5" t="s">
        <v>214</v>
      </c>
      <c r="G274" s="5">
        <v>1</v>
      </c>
      <c r="H274" s="5" t="s">
        <v>215</v>
      </c>
      <c r="I274" s="5">
        <v>1</v>
      </c>
      <c r="J274" s="5">
        <v>101588</v>
      </c>
      <c r="K274" s="5">
        <v>101588</v>
      </c>
      <c r="L274" s="5">
        <f>IF(AND(H2192=C2193,B2192=B2193),J2193,"")</f>
        <v>101718</v>
      </c>
      <c r="M274" s="2">
        <f>VLOOKUP(F2192,Sheet2!$A$2:$B$500,2,FALSE)</f>
        <v>1968.1</v>
      </c>
    </row>
    <row r="275" ht="15.75" customHeight="1" spans="1:13">
      <c r="A275" s="5">
        <v>8029</v>
      </c>
      <c r="B275" s="5" t="s">
        <v>241</v>
      </c>
      <c r="C275" s="5" t="s">
        <v>215</v>
      </c>
      <c r="D275" s="5">
        <v>1</v>
      </c>
      <c r="E275" s="2">
        <f>IF(B2193=B2192,E2192+1,1)</f>
        <v>8</v>
      </c>
      <c r="F275" s="5" t="s">
        <v>216</v>
      </c>
      <c r="G275" s="5">
        <v>1</v>
      </c>
      <c r="H275" s="5" t="s">
        <v>217</v>
      </c>
      <c r="I275" s="5">
        <v>1</v>
      </c>
      <c r="J275" s="5">
        <v>101718</v>
      </c>
      <c r="K275" s="5">
        <v>101838</v>
      </c>
      <c r="L275" s="5">
        <f>IF(AND(H2193=C2194,B2193=B2194),J2194,"")</f>
        <v>101970</v>
      </c>
      <c r="M275" s="2">
        <f>VLOOKUP(F2193,Sheet2!$A$2:$B$500,2,FALSE)</f>
        <v>1966.9</v>
      </c>
    </row>
    <row r="276" ht="15.75" customHeight="1" spans="1:13">
      <c r="A276" s="5">
        <v>8030</v>
      </c>
      <c r="B276" s="5" t="s">
        <v>241</v>
      </c>
      <c r="C276" s="5" t="s">
        <v>217</v>
      </c>
      <c r="D276" s="5">
        <v>1</v>
      </c>
      <c r="E276" s="2">
        <f>IF(B2194=B2193,E2193+1,1)</f>
        <v>9</v>
      </c>
      <c r="F276" s="5" t="s">
        <v>218</v>
      </c>
      <c r="G276" s="5">
        <v>1</v>
      </c>
      <c r="H276" s="5" t="s">
        <v>219</v>
      </c>
      <c r="I276" s="5">
        <v>3</v>
      </c>
      <c r="J276" s="5">
        <v>101970</v>
      </c>
      <c r="K276" s="5">
        <v>101970</v>
      </c>
      <c r="L276" s="5">
        <f>IF(AND(H2194=C2195,B2194=B2195),J2195,"")</f>
        <v>102054</v>
      </c>
      <c r="M276" s="2">
        <f>VLOOKUP(F2194,Sheet2!$A$2:$B$500,2,FALSE)</f>
        <v>1965.63</v>
      </c>
    </row>
    <row r="277" ht="15.75" customHeight="1" spans="1:13">
      <c r="A277" s="5">
        <v>8031</v>
      </c>
      <c r="B277" s="5" t="s">
        <v>241</v>
      </c>
      <c r="C277" s="5" t="s">
        <v>219</v>
      </c>
      <c r="D277" s="5">
        <v>3</v>
      </c>
      <c r="E277" s="2">
        <f>IF(B2195=B2194,E2194+1,1)</f>
        <v>10</v>
      </c>
      <c r="F277" s="5" t="s">
        <v>220</v>
      </c>
      <c r="G277" s="5">
        <v>3</v>
      </c>
      <c r="H277" s="5" t="s">
        <v>221</v>
      </c>
      <c r="I277" s="5">
        <v>3</v>
      </c>
      <c r="J277" s="5">
        <v>102054</v>
      </c>
      <c r="K277" s="5">
        <v>102054</v>
      </c>
      <c r="L277" s="5">
        <f>IF(AND(H2195=C2196,B2195=B2196),J2196,"")</f>
        <v>102198</v>
      </c>
      <c r="M277" s="2">
        <f>VLOOKUP(F2195,Sheet2!$A$2:$B$500,2,FALSE)</f>
        <v>1963.04</v>
      </c>
    </row>
    <row r="278" ht="15.75" customHeight="1" spans="1:13">
      <c r="A278" s="5">
        <v>8032</v>
      </c>
      <c r="B278" s="5" t="s">
        <v>241</v>
      </c>
      <c r="C278" s="5" t="s">
        <v>221</v>
      </c>
      <c r="D278" s="5">
        <v>3</v>
      </c>
      <c r="E278" s="2">
        <f>IF(B2196=B2195,E2195+1,1)</f>
        <v>11</v>
      </c>
      <c r="F278" s="5" t="s">
        <v>222</v>
      </c>
      <c r="G278" s="5">
        <v>5</v>
      </c>
      <c r="H278" s="5" t="s">
        <v>223</v>
      </c>
      <c r="I278" s="5">
        <v>3</v>
      </c>
      <c r="J278" s="5">
        <v>102198</v>
      </c>
      <c r="K278" s="5">
        <v>102198</v>
      </c>
      <c r="L278" s="5">
        <f>IF(AND(H2196=C2197,B2196=B2197),J2197,"")</f>
        <v>102280</v>
      </c>
      <c r="M278" s="2">
        <f>VLOOKUP(F2196,Sheet2!$A$2:$B$500,2,FALSE)</f>
        <v>1960.36</v>
      </c>
    </row>
    <row r="279" ht="15.75" customHeight="1" spans="1:13">
      <c r="A279" s="5">
        <v>8033</v>
      </c>
      <c r="B279" s="5" t="s">
        <v>241</v>
      </c>
      <c r="C279" s="5" t="s">
        <v>223</v>
      </c>
      <c r="D279" s="5">
        <v>3</v>
      </c>
      <c r="E279" s="2">
        <f>IF(B2197=B2196,E2196+1,1)</f>
        <v>12</v>
      </c>
      <c r="F279" s="5" t="s">
        <v>224</v>
      </c>
      <c r="G279" s="5">
        <v>3</v>
      </c>
      <c r="H279" s="5" t="s">
        <v>225</v>
      </c>
      <c r="I279" s="5">
        <v>3</v>
      </c>
      <c r="J279" s="5">
        <v>102280</v>
      </c>
      <c r="K279" s="5">
        <v>102280</v>
      </c>
      <c r="L279" s="5">
        <f>IF(AND(H2197=C2198,B2197=B2198),J2198,"")</f>
        <v>102534</v>
      </c>
      <c r="M279" s="2">
        <f>VLOOKUP(F2197,Sheet2!$A$2:$B$500,2,FALSE)</f>
        <v>1957.95</v>
      </c>
    </row>
    <row r="280" ht="15.75" customHeight="1" spans="1:13">
      <c r="A280" s="5">
        <v>8034</v>
      </c>
      <c r="B280" s="5" t="s">
        <v>241</v>
      </c>
      <c r="C280" s="5" t="s">
        <v>225</v>
      </c>
      <c r="D280" s="5">
        <v>3</v>
      </c>
      <c r="E280" s="2">
        <f>IF(B2198=B2197,E2197+1,1)</f>
        <v>13</v>
      </c>
      <c r="F280" s="5" t="s">
        <v>226</v>
      </c>
      <c r="G280" s="5">
        <v>3</v>
      </c>
      <c r="H280" s="5" t="s">
        <v>227</v>
      </c>
      <c r="I280" s="5">
        <v>3</v>
      </c>
      <c r="J280" s="5">
        <v>102534</v>
      </c>
      <c r="K280" s="5">
        <v>102534</v>
      </c>
      <c r="L280" s="5">
        <f>IF(AND(H2198=C2199,B2198=B2199),J2199,"")</f>
        <v>102748</v>
      </c>
      <c r="M280" s="2">
        <f>VLOOKUP(F2198,Sheet2!$A$2:$B$500,2,FALSE)</f>
        <v>1956.45</v>
      </c>
    </row>
    <row r="281" ht="15.75" customHeight="1" spans="1:13">
      <c r="A281" s="5">
        <v>8035</v>
      </c>
      <c r="B281" s="5" t="s">
        <v>241</v>
      </c>
      <c r="C281" s="5" t="s">
        <v>227</v>
      </c>
      <c r="D281" s="5">
        <v>3</v>
      </c>
      <c r="E281" s="2">
        <f>IF(B2199=B2198,E2198+1,1)</f>
        <v>14</v>
      </c>
      <c r="F281" s="5" t="s">
        <v>228</v>
      </c>
      <c r="G281" s="5">
        <v>3</v>
      </c>
      <c r="H281" s="5" t="s">
        <v>229</v>
      </c>
      <c r="I281" s="5">
        <v>3</v>
      </c>
      <c r="J281" s="5">
        <v>102748</v>
      </c>
      <c r="K281" s="5">
        <v>102748</v>
      </c>
      <c r="L281" s="5">
        <f>IF(AND(H2199=C2200,B2199=B2200),J2200,"")</f>
        <v>102824</v>
      </c>
      <c r="M281" s="2">
        <f>VLOOKUP(F2199,Sheet2!$A$2:$B$500,2,FALSE)</f>
        <v>1952.9</v>
      </c>
    </row>
    <row r="282" ht="15.75" customHeight="1" spans="1:13">
      <c r="A282" s="5">
        <v>8036</v>
      </c>
      <c r="B282" s="5" t="s">
        <v>241</v>
      </c>
      <c r="C282" s="5" t="s">
        <v>229</v>
      </c>
      <c r="D282" s="5">
        <v>3</v>
      </c>
      <c r="E282" s="2">
        <f>IF(B2200=B2199,E2199+1,1)</f>
        <v>15</v>
      </c>
      <c r="F282" s="5" t="s">
        <v>230</v>
      </c>
      <c r="G282" s="5">
        <v>3</v>
      </c>
      <c r="H282" s="5" t="s">
        <v>231</v>
      </c>
      <c r="I282" s="5">
        <v>3</v>
      </c>
      <c r="J282" s="5">
        <v>102824</v>
      </c>
      <c r="K282" s="5">
        <v>102824</v>
      </c>
      <c r="L282" s="5">
        <f>IF(AND(H2200=C2201,B2200=B2201),J2201,"")</f>
        <v>103064</v>
      </c>
      <c r="M282" s="2">
        <f>VLOOKUP(F2200,Sheet2!$A$2:$B$500,2,FALSE)</f>
        <v>1951.06</v>
      </c>
    </row>
    <row r="283" ht="15.75" customHeight="1" spans="1:13">
      <c r="A283" s="5">
        <v>8037</v>
      </c>
      <c r="B283" s="5" t="s">
        <v>241</v>
      </c>
      <c r="C283" s="5" t="s">
        <v>231</v>
      </c>
      <c r="D283" s="5">
        <v>3</v>
      </c>
      <c r="E283" s="2">
        <f>IF(B2201=B2200,E2200+1,1)</f>
        <v>16</v>
      </c>
      <c r="F283" s="5" t="s">
        <v>232</v>
      </c>
      <c r="G283" s="5">
        <v>3</v>
      </c>
      <c r="H283" s="5" t="s">
        <v>233</v>
      </c>
      <c r="I283" s="5">
        <v>3</v>
      </c>
      <c r="J283" s="5">
        <v>103064</v>
      </c>
      <c r="K283" s="5">
        <v>103064</v>
      </c>
      <c r="L283" s="5">
        <f>IF(AND(H2201=C2202,B2201=B2202),J2202,"")</f>
        <v>103142</v>
      </c>
      <c r="M283" s="2">
        <f>VLOOKUP(F2201,Sheet2!$A$2:$B$500,2,FALSE)</f>
        <v>1949.19</v>
      </c>
    </row>
    <row r="284" ht="15.75" customHeight="1" spans="1:13">
      <c r="A284" s="5">
        <v>8038</v>
      </c>
      <c r="B284" s="5" t="s">
        <v>241</v>
      </c>
      <c r="C284" s="5" t="s">
        <v>233</v>
      </c>
      <c r="D284" s="5">
        <v>3</v>
      </c>
      <c r="E284" s="2">
        <f>IF(B2202=B2201,E2201+1,1)</f>
        <v>17</v>
      </c>
      <c r="F284" s="5" t="s">
        <v>234</v>
      </c>
      <c r="G284" s="5">
        <v>3</v>
      </c>
      <c r="H284" s="5" t="s">
        <v>235</v>
      </c>
      <c r="I284" s="5">
        <v>3</v>
      </c>
      <c r="J284" s="5">
        <v>103142</v>
      </c>
      <c r="K284" s="5">
        <v>103142</v>
      </c>
      <c r="L284" s="5">
        <f>IF(AND(H2202=C2203,B2202=B2203),J2203,"")</f>
        <v>103222</v>
      </c>
      <c r="M284" s="2">
        <f>VLOOKUP(F2202,Sheet2!$A$2:$B$500,2,FALSE)</f>
        <v>1947.29</v>
      </c>
    </row>
    <row r="285" ht="15.75" customHeight="1" spans="1:13">
      <c r="A285" s="5">
        <v>8039</v>
      </c>
      <c r="B285" s="5" t="s">
        <v>241</v>
      </c>
      <c r="C285" s="5" t="s">
        <v>235</v>
      </c>
      <c r="D285" s="5">
        <v>3</v>
      </c>
      <c r="E285" s="2">
        <f>IF(B2203=B2202,E2202+1,1)</f>
        <v>18</v>
      </c>
      <c r="F285" s="5" t="s">
        <v>236</v>
      </c>
      <c r="G285" s="5">
        <v>3</v>
      </c>
      <c r="H285" s="5" t="s">
        <v>237</v>
      </c>
      <c r="I285" s="5">
        <v>3</v>
      </c>
      <c r="J285" s="5">
        <v>103222</v>
      </c>
      <c r="K285" s="5">
        <v>103222</v>
      </c>
      <c r="L285" s="5">
        <f>IF(AND(H2203=C2204,B2203=B2204),J2204,"")</f>
        <v>103364</v>
      </c>
      <c r="M285" s="2">
        <f>VLOOKUP(F2203,Sheet2!$A$2:$B$500,2,FALSE)</f>
        <v>1945.19</v>
      </c>
    </row>
    <row r="286" ht="15.75" customHeight="1" spans="1:13">
      <c r="A286" s="5">
        <v>8040</v>
      </c>
      <c r="B286" s="5" t="s">
        <v>241</v>
      </c>
      <c r="C286" s="5" t="s">
        <v>237</v>
      </c>
      <c r="D286" s="5">
        <v>3</v>
      </c>
      <c r="E286" s="2">
        <f>IF(B2204=B2203,E2203+1,1)</f>
        <v>19</v>
      </c>
      <c r="F286" s="5" t="s">
        <v>238</v>
      </c>
      <c r="G286" s="5">
        <v>7</v>
      </c>
      <c r="H286" s="5" t="s">
        <v>239</v>
      </c>
      <c r="I286" s="5">
        <v>1</v>
      </c>
      <c r="J286" s="5">
        <v>103364</v>
      </c>
      <c r="K286" s="5">
        <v>103484</v>
      </c>
      <c r="L286" s="5">
        <f>IF(AND(H2204=C2205,B2204=B2205),J2205,"")</f>
        <v>103844</v>
      </c>
      <c r="M286" s="2">
        <f>VLOOKUP(F2204,Sheet2!$A$2:$B$500,2,FALSE)</f>
        <v>1942.73</v>
      </c>
    </row>
    <row r="287" ht="15.75" customHeight="1" spans="1:13">
      <c r="A287" s="5">
        <v>8041</v>
      </c>
      <c r="B287" s="5" t="s">
        <v>241</v>
      </c>
      <c r="C287" s="5" t="s">
        <v>239</v>
      </c>
      <c r="D287" s="5">
        <v>1</v>
      </c>
      <c r="E287" s="2">
        <f>IF(B2205=B2204,E2204+1,1)</f>
        <v>20</v>
      </c>
      <c r="F287" s="5" t="s">
        <v>240</v>
      </c>
      <c r="G287" s="5">
        <v>3</v>
      </c>
      <c r="H287" s="5"/>
      <c r="I287" s="5"/>
      <c r="J287" s="5">
        <v>103844</v>
      </c>
      <c r="K287" s="5">
        <v>103844</v>
      </c>
      <c r="L287" s="5" t="str">
        <f>IF(AND(H2205=C2206,B2205=B2206),J2206,"")</f>
        <v/>
      </c>
      <c r="M287" s="2">
        <f>VLOOKUP(F2205,Sheet2!$A$2:$B$500,2,FALSE)</f>
        <v>1933.3</v>
      </c>
    </row>
    <row r="288" ht="15.75" customHeight="1" spans="1:13">
      <c r="A288" s="5">
        <v>3185</v>
      </c>
      <c r="B288" s="5" t="s">
        <v>242</v>
      </c>
      <c r="C288" s="5" t="s">
        <v>14</v>
      </c>
      <c r="D288" s="5" t="s">
        <v>14</v>
      </c>
      <c r="E288" s="2">
        <f>IF(B2206=B2205,E2205+1,1)</f>
        <v>1</v>
      </c>
      <c r="F288" s="5" t="s">
        <v>240</v>
      </c>
      <c r="G288" s="5">
        <v>4</v>
      </c>
      <c r="H288" s="5" t="s">
        <v>243</v>
      </c>
      <c r="I288" s="5">
        <v>2</v>
      </c>
      <c r="J288" s="5">
        <v>78600</v>
      </c>
      <c r="K288" s="5">
        <v>78600</v>
      </c>
      <c r="L288" s="5">
        <f>IF(AND(H2206=C2207,B2206=B2207),J2207,"")</f>
        <v>78752</v>
      </c>
      <c r="M288" s="2">
        <f>VLOOKUP(F2206,Sheet2!$A$2:$B$500,2,FALSE)</f>
        <v>1933.3</v>
      </c>
    </row>
    <row r="289" ht="15.75" customHeight="1" spans="1:13">
      <c r="A289" s="5">
        <v>3186</v>
      </c>
      <c r="B289" s="5" t="s">
        <v>242</v>
      </c>
      <c r="C289" s="5" t="s">
        <v>243</v>
      </c>
      <c r="D289" s="5">
        <v>2</v>
      </c>
      <c r="E289" s="2">
        <f>IF(B2207=B2206,E2206+1,1)</f>
        <v>2</v>
      </c>
      <c r="F289" s="5" t="s">
        <v>244</v>
      </c>
      <c r="G289" s="5">
        <v>2</v>
      </c>
      <c r="H289" s="5" t="s">
        <v>245</v>
      </c>
      <c r="I289" s="5">
        <v>2</v>
      </c>
      <c r="J289" s="5">
        <v>78752</v>
      </c>
      <c r="K289" s="5">
        <v>78752</v>
      </c>
      <c r="L289" s="5">
        <f>IF(AND(H2207=C2208,B2207=B2208),J2208,"")</f>
        <v>78906</v>
      </c>
      <c r="M289" s="2">
        <f>VLOOKUP(F2207,Sheet2!$A$2:$B$500,2,FALSE)</f>
        <v>1936.68</v>
      </c>
    </row>
    <row r="290" ht="15.75" customHeight="1" spans="1:13">
      <c r="A290" s="5">
        <v>3187</v>
      </c>
      <c r="B290" s="5" t="s">
        <v>242</v>
      </c>
      <c r="C290" s="5" t="s">
        <v>245</v>
      </c>
      <c r="D290" s="5">
        <v>2</v>
      </c>
      <c r="E290" s="2">
        <f>IF(B2208=B2207,E2207+1,1)</f>
        <v>3</v>
      </c>
      <c r="F290" s="5" t="s">
        <v>246</v>
      </c>
      <c r="G290" s="5">
        <v>2</v>
      </c>
      <c r="H290" s="5" t="s">
        <v>247</v>
      </c>
      <c r="I290" s="5">
        <v>2</v>
      </c>
      <c r="J290" s="5">
        <v>78906</v>
      </c>
      <c r="K290" s="5">
        <v>78906</v>
      </c>
      <c r="L290" s="5">
        <f>IF(AND(H2208=C2209,B2208=B2209),J2209,"")</f>
        <v>79048</v>
      </c>
      <c r="M290" s="2">
        <f>VLOOKUP(F2208,Sheet2!$A$2:$B$500,2,FALSE)</f>
        <v>1940.35</v>
      </c>
    </row>
    <row r="291" ht="15.75" customHeight="1" spans="1:13">
      <c r="A291" s="5">
        <v>3188</v>
      </c>
      <c r="B291" s="5" t="s">
        <v>242</v>
      </c>
      <c r="C291" s="5" t="s">
        <v>247</v>
      </c>
      <c r="D291" s="5">
        <v>2</v>
      </c>
      <c r="E291" s="2">
        <f>IF(B2209=B2208,E2208+1,1)</f>
        <v>4</v>
      </c>
      <c r="F291" s="5" t="s">
        <v>238</v>
      </c>
      <c r="G291" s="5">
        <v>4</v>
      </c>
      <c r="H291" s="5" t="s">
        <v>248</v>
      </c>
      <c r="I291" s="5">
        <v>2</v>
      </c>
      <c r="J291" s="5">
        <v>79048</v>
      </c>
      <c r="K291" s="5">
        <v>79168</v>
      </c>
      <c r="L291" s="5">
        <f>IF(AND(H2209=C2210,B2209=B2210),J2210,"")</f>
        <v>79310</v>
      </c>
      <c r="M291" s="2">
        <f>VLOOKUP(F2209,Sheet2!$A$2:$B$500,2,FALSE)</f>
        <v>1942.73</v>
      </c>
    </row>
    <row r="292" ht="15.75" customHeight="1" spans="1:13">
      <c r="A292" s="5">
        <v>3189</v>
      </c>
      <c r="B292" s="5" t="s">
        <v>242</v>
      </c>
      <c r="C292" s="5" t="s">
        <v>248</v>
      </c>
      <c r="D292" s="5">
        <v>2</v>
      </c>
      <c r="E292" s="2">
        <f>IF(B2210=B2209,E2209+1,1)</f>
        <v>5</v>
      </c>
      <c r="F292" s="5" t="s">
        <v>236</v>
      </c>
      <c r="G292" s="5">
        <v>2</v>
      </c>
      <c r="H292" s="5" t="s">
        <v>249</v>
      </c>
      <c r="I292" s="5">
        <v>2</v>
      </c>
      <c r="J292" s="5">
        <v>79310</v>
      </c>
      <c r="K292" s="5">
        <v>79310</v>
      </c>
      <c r="L292" s="5">
        <f>IF(AND(H2210=C2211,B2210=B2211),J2211,"")</f>
        <v>79390</v>
      </c>
      <c r="M292" s="2">
        <f>VLOOKUP(F2210,Sheet2!$A$2:$B$500,2,FALSE)</f>
        <v>1945.19</v>
      </c>
    </row>
    <row r="293" ht="15.75" customHeight="1" spans="1:13">
      <c r="A293" s="5">
        <v>3190</v>
      </c>
      <c r="B293" s="5" t="s">
        <v>242</v>
      </c>
      <c r="C293" s="5" t="s">
        <v>249</v>
      </c>
      <c r="D293" s="5">
        <v>2</v>
      </c>
      <c r="E293" s="2">
        <f>IF(B2211=B2210,E2210+1,1)</f>
        <v>6</v>
      </c>
      <c r="F293" s="5" t="s">
        <v>234</v>
      </c>
      <c r="G293" s="5">
        <v>2</v>
      </c>
      <c r="H293" s="5" t="s">
        <v>250</v>
      </c>
      <c r="I293" s="5">
        <v>2</v>
      </c>
      <c r="J293" s="5">
        <v>79390</v>
      </c>
      <c r="K293" s="5">
        <v>79390</v>
      </c>
      <c r="L293" s="5">
        <f>IF(AND(H2211=C2212,B2211=B2212),J2212,"")</f>
        <v>79468</v>
      </c>
      <c r="M293" s="2">
        <f>VLOOKUP(F2211,Sheet2!$A$2:$B$500,2,FALSE)</f>
        <v>1947.29</v>
      </c>
    </row>
    <row r="294" ht="15.75" customHeight="1" spans="1:13">
      <c r="A294" s="5">
        <v>3191</v>
      </c>
      <c r="B294" s="5" t="s">
        <v>242</v>
      </c>
      <c r="C294" s="5" t="s">
        <v>250</v>
      </c>
      <c r="D294" s="5">
        <v>2</v>
      </c>
      <c r="E294" s="2">
        <f>IF(B2212=B2211,E2211+1,1)</f>
        <v>7</v>
      </c>
      <c r="F294" s="5" t="s">
        <v>232</v>
      </c>
      <c r="G294" s="5">
        <v>2</v>
      </c>
      <c r="H294" s="5" t="s">
        <v>251</v>
      </c>
      <c r="I294" s="5">
        <v>2</v>
      </c>
      <c r="J294" s="5">
        <v>79468</v>
      </c>
      <c r="K294" s="5">
        <v>79468</v>
      </c>
      <c r="L294" s="5">
        <f>IF(AND(H2212=C2213,B2212=B2213),J2213,"")</f>
        <v>79604</v>
      </c>
      <c r="M294" s="2">
        <f>VLOOKUP(F2212,Sheet2!$A$2:$B$500,2,FALSE)</f>
        <v>1949.19</v>
      </c>
    </row>
    <row r="295" ht="15.75" customHeight="1" spans="1:13">
      <c r="A295" s="5">
        <v>3192</v>
      </c>
      <c r="B295" s="5" t="s">
        <v>242</v>
      </c>
      <c r="C295" s="5" t="s">
        <v>251</v>
      </c>
      <c r="D295" s="5">
        <v>2</v>
      </c>
      <c r="E295" s="2">
        <f>IF(B2213=B2212,E2212+1,1)</f>
        <v>8</v>
      </c>
      <c r="F295" s="5" t="s">
        <v>230</v>
      </c>
      <c r="G295" s="5">
        <v>2</v>
      </c>
      <c r="H295" s="5" t="s">
        <v>252</v>
      </c>
      <c r="I295" s="5">
        <v>2</v>
      </c>
      <c r="J295" s="5">
        <v>79604</v>
      </c>
      <c r="K295" s="5">
        <v>79604</v>
      </c>
      <c r="L295" s="5">
        <f>IF(AND(H2213=C2214,B2213=B2214),J2214,"")</f>
        <v>79680</v>
      </c>
      <c r="M295" s="2">
        <f>VLOOKUP(F2213,Sheet2!$A$2:$B$500,2,FALSE)</f>
        <v>1951.06</v>
      </c>
    </row>
    <row r="296" ht="15.75" customHeight="1" spans="1:13">
      <c r="A296" s="5">
        <v>3193</v>
      </c>
      <c r="B296" s="5" t="s">
        <v>242</v>
      </c>
      <c r="C296" s="5" t="s">
        <v>252</v>
      </c>
      <c r="D296" s="5">
        <v>2</v>
      </c>
      <c r="E296" s="2">
        <f>IF(B2214=B2213,E2213+1,1)</f>
        <v>9</v>
      </c>
      <c r="F296" s="5" t="s">
        <v>228</v>
      </c>
      <c r="G296" s="5">
        <v>2</v>
      </c>
      <c r="H296" s="5" t="s">
        <v>253</v>
      </c>
      <c r="I296" s="5">
        <v>2</v>
      </c>
      <c r="J296" s="5">
        <v>79680</v>
      </c>
      <c r="K296" s="5">
        <v>79680</v>
      </c>
      <c r="L296" s="5">
        <f>IF(AND(H2214=C2215,B2214=B2215),J2215,"")</f>
        <v>79834</v>
      </c>
      <c r="M296" s="2">
        <f>VLOOKUP(F2214,Sheet2!$A$2:$B$500,2,FALSE)</f>
        <v>1952.9</v>
      </c>
    </row>
    <row r="297" ht="15.75" customHeight="1" spans="1:13">
      <c r="A297" s="5">
        <v>3194</v>
      </c>
      <c r="B297" s="5" t="s">
        <v>242</v>
      </c>
      <c r="C297" s="5" t="s">
        <v>253</v>
      </c>
      <c r="D297" s="5">
        <v>2</v>
      </c>
      <c r="E297" s="2">
        <f>IF(B2215=B2214,E2214+1,1)</f>
        <v>10</v>
      </c>
      <c r="F297" s="5" t="s">
        <v>226</v>
      </c>
      <c r="G297" s="5">
        <v>2</v>
      </c>
      <c r="H297" s="5" t="s">
        <v>254</v>
      </c>
      <c r="I297" s="5">
        <v>2</v>
      </c>
      <c r="J297" s="5">
        <v>79834</v>
      </c>
      <c r="K297" s="5">
        <v>79834</v>
      </c>
      <c r="L297" s="5">
        <f>IF(AND(H2215=C2216,B2215=B2216),J2216,"")</f>
        <v>80088</v>
      </c>
      <c r="M297" s="2">
        <f>VLOOKUP(F2215,Sheet2!$A$2:$B$500,2,FALSE)</f>
        <v>1956.45</v>
      </c>
    </row>
    <row r="298" ht="15.75" customHeight="1" spans="1:13">
      <c r="A298" s="5">
        <v>3195</v>
      </c>
      <c r="B298" s="5" t="s">
        <v>242</v>
      </c>
      <c r="C298" s="5" t="s">
        <v>254</v>
      </c>
      <c r="D298" s="5">
        <v>2</v>
      </c>
      <c r="E298" s="2">
        <f>IF(B2216=B2215,E2215+1,1)</f>
        <v>11</v>
      </c>
      <c r="F298" s="5" t="s">
        <v>224</v>
      </c>
      <c r="G298" s="5">
        <v>2</v>
      </c>
      <c r="H298" s="5" t="s">
        <v>255</v>
      </c>
      <c r="I298" s="5">
        <v>2</v>
      </c>
      <c r="J298" s="5">
        <v>80088</v>
      </c>
      <c r="K298" s="5">
        <v>80088</v>
      </c>
      <c r="L298" s="5">
        <f>IF(AND(H2216=C2217,B2216=B2217),J2217,"")</f>
        <v>80268</v>
      </c>
      <c r="M298" s="2">
        <f>VLOOKUP(F2216,Sheet2!$A$2:$B$500,2,FALSE)</f>
        <v>1957.95</v>
      </c>
    </row>
    <row r="299" ht="15.75" customHeight="1" spans="1:13">
      <c r="A299" s="5">
        <v>3196</v>
      </c>
      <c r="B299" s="5" t="s">
        <v>242</v>
      </c>
      <c r="C299" s="5" t="s">
        <v>255</v>
      </c>
      <c r="D299" s="5">
        <v>2</v>
      </c>
      <c r="E299" s="2">
        <f>IF(B2217=B2216,E2216+1,1)</f>
        <v>12</v>
      </c>
      <c r="F299" s="5" t="s">
        <v>222</v>
      </c>
      <c r="G299" s="5">
        <v>3</v>
      </c>
      <c r="H299" s="5" t="s">
        <v>256</v>
      </c>
      <c r="I299" s="5">
        <v>2</v>
      </c>
      <c r="J299" s="5">
        <v>80268</v>
      </c>
      <c r="K299" s="5">
        <v>80268</v>
      </c>
      <c r="L299" s="5">
        <f>IF(AND(H2217=C2218,B2217=B2218),J2218,"")</f>
        <v>80412</v>
      </c>
      <c r="M299" s="2">
        <f>VLOOKUP(F2217,Sheet2!$A$2:$B$500,2,FALSE)</f>
        <v>1960.36</v>
      </c>
    </row>
    <row r="300" ht="15.75" customHeight="1" spans="1:13">
      <c r="A300" s="5">
        <v>3197</v>
      </c>
      <c r="B300" s="5" t="s">
        <v>242</v>
      </c>
      <c r="C300" s="5" t="s">
        <v>256</v>
      </c>
      <c r="D300" s="5">
        <v>2</v>
      </c>
      <c r="E300" s="2">
        <f>IF(B2218=B2217,E2217+1,1)</f>
        <v>13</v>
      </c>
      <c r="F300" s="5" t="s">
        <v>220</v>
      </c>
      <c r="G300" s="5">
        <v>2</v>
      </c>
      <c r="H300" s="5" t="s">
        <v>257</v>
      </c>
      <c r="I300" s="5">
        <v>2</v>
      </c>
      <c r="J300" s="5">
        <v>80412</v>
      </c>
      <c r="K300" s="5">
        <v>80412</v>
      </c>
      <c r="L300" s="5">
        <f>IF(AND(H2218=C2219,B2218=B2219),J2219,"")</f>
        <v>80496</v>
      </c>
      <c r="M300" s="2">
        <f>VLOOKUP(F2218,Sheet2!$A$2:$B$500,2,FALSE)</f>
        <v>1963.04</v>
      </c>
    </row>
    <row r="301" ht="15.75" customHeight="1" spans="1:13">
      <c r="A301" s="5">
        <v>3198</v>
      </c>
      <c r="B301" s="5" t="s">
        <v>242</v>
      </c>
      <c r="C301" s="5" t="s">
        <v>257</v>
      </c>
      <c r="D301" s="5">
        <v>2</v>
      </c>
      <c r="E301" s="2">
        <f>IF(B2219=B2218,E2218+1,1)</f>
        <v>14</v>
      </c>
      <c r="F301" s="5" t="s">
        <v>218</v>
      </c>
      <c r="G301" s="5">
        <v>2</v>
      </c>
      <c r="H301" s="5" t="s">
        <v>258</v>
      </c>
      <c r="I301" s="5">
        <v>2</v>
      </c>
      <c r="J301" s="5">
        <v>80496</v>
      </c>
      <c r="K301" s="5">
        <v>80496</v>
      </c>
      <c r="L301" s="5">
        <f>IF(AND(H2219=C2220,B2219=B2220),J2220,"")</f>
        <v>80628</v>
      </c>
      <c r="M301" s="2">
        <f>VLOOKUP(F2219,Sheet2!$A$2:$B$500,2,FALSE)</f>
        <v>1965.63</v>
      </c>
    </row>
    <row r="302" ht="15.75" customHeight="1" spans="1:13">
      <c r="A302" s="5">
        <v>3199</v>
      </c>
      <c r="B302" s="5" t="s">
        <v>242</v>
      </c>
      <c r="C302" s="5" t="s">
        <v>258</v>
      </c>
      <c r="D302" s="5">
        <v>2</v>
      </c>
      <c r="E302" s="2">
        <f>IF(B2220=B2219,E2219+1,1)</f>
        <v>15</v>
      </c>
      <c r="F302" s="5" t="s">
        <v>216</v>
      </c>
      <c r="G302" s="5">
        <v>2</v>
      </c>
      <c r="H302" s="5" t="s">
        <v>259</v>
      </c>
      <c r="I302" s="5">
        <v>2</v>
      </c>
      <c r="J302" s="5">
        <v>80628</v>
      </c>
      <c r="K302" s="5">
        <v>80748</v>
      </c>
      <c r="L302" s="5">
        <f>IF(AND(H2220=C2221,B2220=B2221),J2221,"")</f>
        <v>80878</v>
      </c>
      <c r="M302" s="2">
        <f>VLOOKUP(F2220,Sheet2!$A$2:$B$500,2,FALSE)</f>
        <v>1966.9</v>
      </c>
    </row>
    <row r="303" ht="15.75" customHeight="1" spans="1:13">
      <c r="A303" s="5">
        <v>3200</v>
      </c>
      <c r="B303" s="5" t="s">
        <v>242</v>
      </c>
      <c r="C303" s="5" t="s">
        <v>259</v>
      </c>
      <c r="D303" s="5">
        <v>2</v>
      </c>
      <c r="E303" s="2">
        <f>IF(B2221=B2220,E2220+1,1)</f>
        <v>16</v>
      </c>
      <c r="F303" s="5" t="s">
        <v>214</v>
      </c>
      <c r="G303" s="5">
        <v>2</v>
      </c>
      <c r="H303" s="5" t="s">
        <v>260</v>
      </c>
      <c r="I303" s="5">
        <v>4</v>
      </c>
      <c r="J303" s="5">
        <v>80878</v>
      </c>
      <c r="K303" s="5">
        <v>80878</v>
      </c>
      <c r="L303" s="5">
        <f>IF(AND(H2221=C2222,B2221=B2222),J2222,"")</f>
        <v>80952</v>
      </c>
      <c r="M303" s="2">
        <f>VLOOKUP(F2221,Sheet2!$A$2:$B$500,2,FALSE)</f>
        <v>1968.1</v>
      </c>
    </row>
    <row r="304" ht="15.75" customHeight="1" spans="1:13">
      <c r="A304" s="5">
        <v>3201</v>
      </c>
      <c r="B304" s="5" t="s">
        <v>242</v>
      </c>
      <c r="C304" s="5" t="s">
        <v>260</v>
      </c>
      <c r="D304" s="5">
        <v>4</v>
      </c>
      <c r="E304" s="2">
        <f>IF(B2222=B2221,E2221+1,1)</f>
        <v>17</v>
      </c>
      <c r="F304" s="5" t="s">
        <v>212</v>
      </c>
      <c r="G304" s="5">
        <v>4</v>
      </c>
      <c r="H304" s="5" t="s">
        <v>261</v>
      </c>
      <c r="I304" s="5">
        <v>4</v>
      </c>
      <c r="J304" s="5">
        <v>80952</v>
      </c>
      <c r="K304" s="5">
        <v>80952</v>
      </c>
      <c r="L304" s="5">
        <f>IF(AND(H2222=C2223,B2222=B2223),J2223,"")</f>
        <v>81016</v>
      </c>
      <c r="M304" s="2">
        <f>VLOOKUP(F2222,Sheet2!$A$2:$B$500,2,FALSE)</f>
        <v>1969.68</v>
      </c>
    </row>
    <row r="305" ht="15.75" customHeight="1" spans="1:13">
      <c r="A305" s="5">
        <v>3202</v>
      </c>
      <c r="B305" s="5" t="s">
        <v>242</v>
      </c>
      <c r="C305" s="5" t="s">
        <v>261</v>
      </c>
      <c r="D305" s="5">
        <v>4</v>
      </c>
      <c r="E305" s="2">
        <f>IF(B2223=B2222,E2222+1,1)</f>
        <v>18</v>
      </c>
      <c r="F305" s="5" t="s">
        <v>210</v>
      </c>
      <c r="G305" s="5">
        <v>4</v>
      </c>
      <c r="H305" s="5" t="s">
        <v>262</v>
      </c>
      <c r="I305" s="5">
        <v>2</v>
      </c>
      <c r="J305" s="5">
        <v>81016</v>
      </c>
      <c r="K305" s="5">
        <v>81016</v>
      </c>
      <c r="L305" s="5">
        <f>IF(AND(H2223=C2224,B2223=B2224),J2224,"")</f>
        <v>81090</v>
      </c>
      <c r="M305" s="2">
        <f>VLOOKUP(F2223,Sheet2!$A$2:$B$500,2,FALSE)</f>
        <v>1970.22</v>
      </c>
    </row>
    <row r="306" ht="15.75" customHeight="1" spans="1:13">
      <c r="A306" s="5">
        <v>3203</v>
      </c>
      <c r="B306" s="5" t="s">
        <v>242</v>
      </c>
      <c r="C306" s="5" t="s">
        <v>262</v>
      </c>
      <c r="D306" s="5">
        <v>2</v>
      </c>
      <c r="E306" s="2">
        <f>IF(B2224=B2223,E2223+1,1)</f>
        <v>19</v>
      </c>
      <c r="F306" s="5" t="s">
        <v>208</v>
      </c>
      <c r="G306" s="5">
        <v>2</v>
      </c>
      <c r="H306" s="5" t="s">
        <v>263</v>
      </c>
      <c r="I306" s="5">
        <v>2</v>
      </c>
      <c r="J306" s="5">
        <v>81090</v>
      </c>
      <c r="K306" s="5">
        <v>81090</v>
      </c>
      <c r="L306" s="5">
        <f>IF(AND(H2224=C2225,B2224=B2225),J2225,"")</f>
        <v>81228</v>
      </c>
      <c r="M306" s="2">
        <f>VLOOKUP(F2224,Sheet2!$A$2:$B$500,2,FALSE)</f>
        <v>1971.71</v>
      </c>
    </row>
    <row r="307" ht="15.75" customHeight="1" spans="1:13">
      <c r="A307" s="5">
        <v>3204</v>
      </c>
      <c r="B307" s="5" t="s">
        <v>242</v>
      </c>
      <c r="C307" s="5" t="s">
        <v>263</v>
      </c>
      <c r="D307" s="5">
        <v>2</v>
      </c>
      <c r="E307" s="2">
        <f>IF(B2225=B2224,E2224+1,1)</f>
        <v>20</v>
      </c>
      <c r="F307" s="5" t="s">
        <v>206</v>
      </c>
      <c r="G307" s="5">
        <v>4</v>
      </c>
      <c r="H307" s="5" t="s">
        <v>264</v>
      </c>
      <c r="I307" s="5">
        <v>4</v>
      </c>
      <c r="J307" s="5">
        <v>81228</v>
      </c>
      <c r="K307" s="5">
        <v>81228</v>
      </c>
      <c r="L307" s="5">
        <f>IF(AND(H2225=C2226,B2225=B2226),J2226,"")</f>
        <v>81356</v>
      </c>
      <c r="M307" s="2">
        <f>VLOOKUP(F2225,Sheet2!$A$2:$B$500,2,FALSE)</f>
        <v>1973.67</v>
      </c>
    </row>
    <row r="308" ht="15.75" customHeight="1" spans="1:13">
      <c r="A308" s="5">
        <v>3205</v>
      </c>
      <c r="B308" s="5" t="s">
        <v>242</v>
      </c>
      <c r="C308" s="5" t="s">
        <v>264</v>
      </c>
      <c r="D308" s="5">
        <v>4</v>
      </c>
      <c r="E308" s="2">
        <f>IF(B2226=B2225,E2225+1,1)</f>
        <v>21</v>
      </c>
      <c r="F308" s="5" t="s">
        <v>204</v>
      </c>
      <c r="G308" s="5">
        <v>6</v>
      </c>
      <c r="H308" s="5" t="s">
        <v>265</v>
      </c>
      <c r="I308" s="5">
        <v>4</v>
      </c>
      <c r="J308" s="5">
        <v>81356</v>
      </c>
      <c r="K308" s="5">
        <v>81356</v>
      </c>
      <c r="L308" s="5">
        <f>IF(AND(H2226=C2227,B2226=B2227),J2227,"")</f>
        <v>81666</v>
      </c>
      <c r="M308" s="2">
        <f>VLOOKUP(F2226,Sheet2!$A$2:$B$500,2,FALSE)</f>
        <v>1974.53</v>
      </c>
    </row>
    <row r="309" ht="15.75" customHeight="1" spans="1:13">
      <c r="A309" s="5">
        <v>3206</v>
      </c>
      <c r="B309" s="5" t="s">
        <v>242</v>
      </c>
      <c r="C309" s="5" t="s">
        <v>265</v>
      </c>
      <c r="D309" s="5">
        <v>4</v>
      </c>
      <c r="E309" s="2">
        <f>IF(B2227=B2226,E2226+1,1)</f>
        <v>22</v>
      </c>
      <c r="F309" s="5" t="s">
        <v>202</v>
      </c>
      <c r="G309" s="5">
        <v>2</v>
      </c>
      <c r="H309" s="5"/>
      <c r="I309" s="5"/>
      <c r="J309" s="5">
        <v>81666</v>
      </c>
      <c r="K309" s="5">
        <v>81666</v>
      </c>
      <c r="L309" s="5" t="str">
        <f>IF(AND(H2227=C2228,B2227=B2228),J2228,"")</f>
        <v/>
      </c>
      <c r="M309" s="2">
        <f>VLOOKUP(F2227,Sheet2!$A$2:$B$500,2,FALSE)</f>
        <v>1975.75</v>
      </c>
    </row>
    <row r="310" ht="15.75" customHeight="1" spans="1:13">
      <c r="A310" s="5">
        <v>8292</v>
      </c>
      <c r="B310" s="5" t="s">
        <v>266</v>
      </c>
      <c r="C310" s="5" t="s">
        <v>14</v>
      </c>
      <c r="D310" s="5" t="s">
        <v>14</v>
      </c>
      <c r="E310" s="2">
        <f>IF(B2228=B2227,E2227+1,1)</f>
        <v>1</v>
      </c>
      <c r="F310" s="5" t="s">
        <v>240</v>
      </c>
      <c r="G310" s="5">
        <v>4</v>
      </c>
      <c r="H310" s="5" t="s">
        <v>243</v>
      </c>
      <c r="I310" s="5">
        <v>2</v>
      </c>
      <c r="J310" s="5">
        <v>165000</v>
      </c>
      <c r="K310" s="5">
        <v>165000</v>
      </c>
      <c r="L310" s="5">
        <f>IF(AND(H2228=C2229,B2228=B2229),J2229,"")</f>
        <v>165152</v>
      </c>
      <c r="M310" s="2">
        <f>VLOOKUP(F2228,Sheet2!$A$2:$B$500,2,FALSE)</f>
        <v>1933.3</v>
      </c>
    </row>
    <row r="311" ht="15.75" customHeight="1" spans="1:13">
      <c r="A311" s="5">
        <v>8293</v>
      </c>
      <c r="B311" s="5" t="s">
        <v>266</v>
      </c>
      <c r="C311" s="5" t="s">
        <v>243</v>
      </c>
      <c r="D311" s="5">
        <v>2</v>
      </c>
      <c r="E311" s="2">
        <f>IF(B2229=B2228,E2228+1,1)</f>
        <v>2</v>
      </c>
      <c r="F311" s="5" t="s">
        <v>244</v>
      </c>
      <c r="G311" s="5">
        <v>2</v>
      </c>
      <c r="H311" s="5" t="s">
        <v>245</v>
      </c>
      <c r="I311" s="5">
        <v>2</v>
      </c>
      <c r="J311" s="5">
        <v>165152</v>
      </c>
      <c r="K311" s="5">
        <v>165152</v>
      </c>
      <c r="L311" s="5">
        <f>IF(AND(H2229=C2230,B2229=B2230),J2230,"")</f>
        <v>165306</v>
      </c>
      <c r="M311" s="2">
        <f>VLOOKUP(F2229,Sheet2!$A$2:$B$500,2,FALSE)</f>
        <v>1936.68</v>
      </c>
    </row>
    <row r="312" ht="15.75" customHeight="1" spans="1:13">
      <c r="A312" s="5">
        <v>8294</v>
      </c>
      <c r="B312" s="5" t="s">
        <v>266</v>
      </c>
      <c r="C312" s="5" t="s">
        <v>245</v>
      </c>
      <c r="D312" s="5">
        <v>2</v>
      </c>
      <c r="E312" s="2">
        <f>IF(B2230=B2229,E2229+1,1)</f>
        <v>3</v>
      </c>
      <c r="F312" s="5" t="s">
        <v>246</v>
      </c>
      <c r="G312" s="5">
        <v>2</v>
      </c>
      <c r="H312" s="5" t="s">
        <v>247</v>
      </c>
      <c r="I312" s="5">
        <v>2</v>
      </c>
      <c r="J312" s="5">
        <v>165306</v>
      </c>
      <c r="K312" s="5">
        <v>165306</v>
      </c>
      <c r="L312" s="5">
        <f>IF(AND(H2230=C2231,B2230=B2231),J2231,"")</f>
        <v>165448</v>
      </c>
      <c r="M312" s="2">
        <f>VLOOKUP(F2230,Sheet2!$A$2:$B$500,2,FALSE)</f>
        <v>1940.35</v>
      </c>
    </row>
    <row r="313" ht="15.75" customHeight="1" spans="1:13">
      <c r="A313" s="5">
        <v>8295</v>
      </c>
      <c r="B313" s="5" t="s">
        <v>266</v>
      </c>
      <c r="C313" s="5" t="s">
        <v>247</v>
      </c>
      <c r="D313" s="5">
        <v>2</v>
      </c>
      <c r="E313" s="2">
        <f>IF(B2231=B2230,E2230+1,1)</f>
        <v>4</v>
      </c>
      <c r="F313" s="5" t="s">
        <v>238</v>
      </c>
      <c r="G313" s="5">
        <v>3</v>
      </c>
      <c r="H313" s="5" t="s">
        <v>248</v>
      </c>
      <c r="I313" s="5">
        <v>2</v>
      </c>
      <c r="J313" s="5">
        <v>165448</v>
      </c>
      <c r="K313" s="5">
        <v>165568</v>
      </c>
      <c r="L313" s="5">
        <f>IF(AND(H2231=C2232,B2231=B2232),J2232,"")</f>
        <v>165710</v>
      </c>
      <c r="M313" s="2">
        <f>VLOOKUP(F2231,Sheet2!$A$2:$B$500,2,FALSE)</f>
        <v>1942.73</v>
      </c>
    </row>
    <row r="314" ht="15.75" customHeight="1" spans="1:13">
      <c r="A314" s="5">
        <v>8296</v>
      </c>
      <c r="B314" s="5" t="s">
        <v>266</v>
      </c>
      <c r="C314" s="5" t="s">
        <v>248</v>
      </c>
      <c r="D314" s="5">
        <v>2</v>
      </c>
      <c r="E314" s="2">
        <f>IF(B2232=B2231,E2231+1,1)</f>
        <v>5</v>
      </c>
      <c r="F314" s="5" t="s">
        <v>236</v>
      </c>
      <c r="G314" s="5">
        <v>2</v>
      </c>
      <c r="H314" s="5" t="s">
        <v>249</v>
      </c>
      <c r="I314" s="5">
        <v>2</v>
      </c>
      <c r="J314" s="5">
        <v>165710</v>
      </c>
      <c r="K314" s="5">
        <v>165710</v>
      </c>
      <c r="L314" s="5">
        <f>IF(AND(H2232=C2233,B2232=B2233),J2233,"")</f>
        <v>165790</v>
      </c>
      <c r="M314" s="2">
        <f>VLOOKUP(F2232,Sheet2!$A$2:$B$500,2,FALSE)</f>
        <v>1945.19</v>
      </c>
    </row>
    <row r="315" ht="15.75" customHeight="1" spans="1:13">
      <c r="A315" s="5">
        <v>8297</v>
      </c>
      <c r="B315" s="5" t="s">
        <v>266</v>
      </c>
      <c r="C315" s="5" t="s">
        <v>249</v>
      </c>
      <c r="D315" s="5">
        <v>2</v>
      </c>
      <c r="E315" s="2">
        <f>IF(B2233=B2232,E2232+1,1)</f>
        <v>6</v>
      </c>
      <c r="F315" s="5" t="s">
        <v>234</v>
      </c>
      <c r="G315" s="5">
        <v>2</v>
      </c>
      <c r="H315" s="5" t="s">
        <v>250</v>
      </c>
      <c r="I315" s="5">
        <v>2</v>
      </c>
      <c r="J315" s="5">
        <v>165790</v>
      </c>
      <c r="K315" s="5">
        <v>165790</v>
      </c>
      <c r="L315" s="5">
        <f>IF(AND(H2233=C2234,B2233=B2234),J2234,"")</f>
        <v>165868</v>
      </c>
      <c r="M315" s="2">
        <f>VLOOKUP(F2233,Sheet2!$A$2:$B$500,2,FALSE)</f>
        <v>1947.29</v>
      </c>
    </row>
    <row r="316" ht="15.75" customHeight="1" spans="1:13">
      <c r="A316" s="5">
        <v>8298</v>
      </c>
      <c r="B316" s="5" t="s">
        <v>266</v>
      </c>
      <c r="C316" s="5" t="s">
        <v>250</v>
      </c>
      <c r="D316" s="5">
        <v>2</v>
      </c>
      <c r="E316" s="2">
        <f>IF(B2234=B2233,E2233+1,1)</f>
        <v>7</v>
      </c>
      <c r="F316" s="5" t="s">
        <v>232</v>
      </c>
      <c r="G316" s="5">
        <v>2</v>
      </c>
      <c r="H316" s="5" t="s">
        <v>251</v>
      </c>
      <c r="I316" s="5">
        <v>2</v>
      </c>
      <c r="J316" s="5">
        <v>165868</v>
      </c>
      <c r="K316" s="5">
        <v>165868</v>
      </c>
      <c r="L316" s="5">
        <f>IF(AND(H2234=C2235,B2234=B2235),J2235,"")</f>
        <v>166004</v>
      </c>
      <c r="M316" s="2">
        <f>VLOOKUP(F2234,Sheet2!$A$2:$B$500,2,FALSE)</f>
        <v>1949.19</v>
      </c>
    </row>
    <row r="317" ht="15.75" customHeight="1" spans="1:13">
      <c r="A317" s="5">
        <v>8299</v>
      </c>
      <c r="B317" s="5" t="s">
        <v>266</v>
      </c>
      <c r="C317" s="5" t="s">
        <v>251</v>
      </c>
      <c r="D317" s="5">
        <v>2</v>
      </c>
      <c r="E317" s="2">
        <f>IF(B2235=B2234,E2234+1,1)</f>
        <v>8</v>
      </c>
      <c r="F317" s="5" t="s">
        <v>230</v>
      </c>
      <c r="G317" s="5">
        <v>2</v>
      </c>
      <c r="H317" s="5" t="s">
        <v>252</v>
      </c>
      <c r="I317" s="5">
        <v>2</v>
      </c>
      <c r="J317" s="5">
        <v>166004</v>
      </c>
      <c r="K317" s="5">
        <v>166004</v>
      </c>
      <c r="L317" s="5">
        <f>IF(AND(H2235=C2236,B2235=B2236),J2236,"")</f>
        <v>166080</v>
      </c>
      <c r="M317" s="2">
        <f>VLOOKUP(F2235,Sheet2!$A$2:$B$500,2,FALSE)</f>
        <v>1951.06</v>
      </c>
    </row>
    <row r="318" ht="15.75" customHeight="1" spans="1:13">
      <c r="A318" s="5">
        <v>8300</v>
      </c>
      <c r="B318" s="5" t="s">
        <v>266</v>
      </c>
      <c r="C318" s="5" t="s">
        <v>252</v>
      </c>
      <c r="D318" s="5">
        <v>2</v>
      </c>
      <c r="E318" s="2">
        <f>IF(B2236=B2235,E2235+1,1)</f>
        <v>9</v>
      </c>
      <c r="F318" s="5" t="s">
        <v>228</v>
      </c>
      <c r="G318" s="5">
        <v>2</v>
      </c>
      <c r="H318" s="5" t="s">
        <v>253</v>
      </c>
      <c r="I318" s="5">
        <v>2</v>
      </c>
      <c r="J318" s="5">
        <v>166080</v>
      </c>
      <c r="K318" s="5">
        <v>166080</v>
      </c>
      <c r="L318" s="5">
        <f>IF(AND(H2236=C2237,B2236=B2237),J2237,"")</f>
        <v>166234</v>
      </c>
      <c r="M318" s="2">
        <f>VLOOKUP(F2236,Sheet2!$A$2:$B$500,2,FALSE)</f>
        <v>1952.9</v>
      </c>
    </row>
    <row r="319" ht="15.75" customHeight="1" spans="1:13">
      <c r="A319" s="5">
        <v>8301</v>
      </c>
      <c r="B319" s="5" t="s">
        <v>266</v>
      </c>
      <c r="C319" s="5" t="s">
        <v>253</v>
      </c>
      <c r="D319" s="5">
        <v>2</v>
      </c>
      <c r="E319" s="2">
        <f>IF(B2237=B2236,E2236+1,1)</f>
        <v>10</v>
      </c>
      <c r="F319" s="5" t="s">
        <v>226</v>
      </c>
      <c r="G319" s="5">
        <v>2</v>
      </c>
      <c r="H319" s="5" t="s">
        <v>254</v>
      </c>
      <c r="I319" s="5">
        <v>2</v>
      </c>
      <c r="J319" s="5">
        <v>166234</v>
      </c>
      <c r="K319" s="5">
        <v>166234</v>
      </c>
      <c r="L319" s="5">
        <f>IF(AND(H2237=C2238,B2237=B2238),J2238,"")</f>
        <v>166488</v>
      </c>
      <c r="M319" s="2">
        <f>VLOOKUP(F2237,Sheet2!$A$2:$B$500,2,FALSE)</f>
        <v>1956.45</v>
      </c>
    </row>
    <row r="320" ht="15.75" customHeight="1" spans="1:13">
      <c r="A320" s="5">
        <v>8302</v>
      </c>
      <c r="B320" s="5" t="s">
        <v>266</v>
      </c>
      <c r="C320" s="5" t="s">
        <v>254</v>
      </c>
      <c r="D320" s="5">
        <v>2</v>
      </c>
      <c r="E320" s="2">
        <f>IF(B2238=B2237,E2237+1,1)</f>
        <v>11</v>
      </c>
      <c r="F320" s="5" t="s">
        <v>224</v>
      </c>
      <c r="G320" s="5">
        <v>2</v>
      </c>
      <c r="H320" s="5" t="s">
        <v>255</v>
      </c>
      <c r="I320" s="5">
        <v>2</v>
      </c>
      <c r="J320" s="5">
        <v>166488</v>
      </c>
      <c r="K320" s="5">
        <v>166488</v>
      </c>
      <c r="L320" s="5">
        <f>IF(AND(H2238=C2239,B2238=B2239),J2239,"")</f>
        <v>166668</v>
      </c>
      <c r="M320" s="2">
        <f>VLOOKUP(F2238,Sheet2!$A$2:$B$500,2,FALSE)</f>
        <v>1957.95</v>
      </c>
    </row>
    <row r="321" ht="15.75" customHeight="1" spans="1:13">
      <c r="A321" s="5">
        <v>8303</v>
      </c>
      <c r="B321" s="5" t="s">
        <v>266</v>
      </c>
      <c r="C321" s="5" t="s">
        <v>255</v>
      </c>
      <c r="D321" s="5">
        <v>2</v>
      </c>
      <c r="E321" s="2">
        <f>IF(B2239=B2238,E2238+1,1)</f>
        <v>12</v>
      </c>
      <c r="F321" s="5" t="s">
        <v>222</v>
      </c>
      <c r="G321" s="5">
        <v>3</v>
      </c>
      <c r="H321" s="5" t="s">
        <v>256</v>
      </c>
      <c r="I321" s="5">
        <v>2</v>
      </c>
      <c r="J321" s="5">
        <v>166668</v>
      </c>
      <c r="K321" s="5">
        <v>166668</v>
      </c>
      <c r="L321" s="5">
        <f>IF(AND(H2239=C2240,B2239=B2240),J2240,"")</f>
        <v>166812</v>
      </c>
      <c r="M321" s="2">
        <f>VLOOKUP(F2239,Sheet2!$A$2:$B$500,2,FALSE)</f>
        <v>1960.36</v>
      </c>
    </row>
    <row r="322" ht="15.75" customHeight="1" spans="1:13">
      <c r="A322" s="5">
        <v>8304</v>
      </c>
      <c r="B322" s="5" t="s">
        <v>266</v>
      </c>
      <c r="C322" s="5" t="s">
        <v>256</v>
      </c>
      <c r="D322" s="5">
        <v>2</v>
      </c>
      <c r="E322" s="2">
        <f>IF(B2240=B2239,E2239+1,1)</f>
        <v>13</v>
      </c>
      <c r="F322" s="5" t="s">
        <v>220</v>
      </c>
      <c r="G322" s="5">
        <v>2</v>
      </c>
      <c r="H322" s="5" t="s">
        <v>257</v>
      </c>
      <c r="I322" s="5">
        <v>2</v>
      </c>
      <c r="J322" s="5">
        <v>166812</v>
      </c>
      <c r="K322" s="5">
        <v>166812</v>
      </c>
      <c r="L322" s="5">
        <f>IF(AND(H2240=C2241,B2240=B2241),J2241,"")</f>
        <v>166896</v>
      </c>
      <c r="M322" s="2">
        <f>VLOOKUP(F2240,Sheet2!$A$2:$B$500,2,FALSE)</f>
        <v>1963.04</v>
      </c>
    </row>
    <row r="323" ht="15.75" customHeight="1" spans="1:13">
      <c r="A323" s="5">
        <v>8305</v>
      </c>
      <c r="B323" s="5" t="s">
        <v>266</v>
      </c>
      <c r="C323" s="5" t="s">
        <v>257</v>
      </c>
      <c r="D323" s="5">
        <v>2</v>
      </c>
      <c r="E323" s="2">
        <f>IF(B2241=B2240,E2240+1,1)</f>
        <v>14</v>
      </c>
      <c r="F323" s="5" t="s">
        <v>218</v>
      </c>
      <c r="G323" s="5">
        <v>2</v>
      </c>
      <c r="H323" s="5" t="s">
        <v>258</v>
      </c>
      <c r="I323" s="5">
        <v>2</v>
      </c>
      <c r="J323" s="5">
        <v>166896</v>
      </c>
      <c r="K323" s="5">
        <v>166896</v>
      </c>
      <c r="L323" s="5">
        <f>IF(AND(H2241=C2242,B2241=B2242),J2242,"")</f>
        <v>167028</v>
      </c>
      <c r="M323" s="2">
        <f>VLOOKUP(F2241,Sheet2!$A$2:$B$500,2,FALSE)</f>
        <v>1965.63</v>
      </c>
    </row>
    <row r="324" ht="15.75" customHeight="1" spans="1:13">
      <c r="A324" s="5">
        <v>8306</v>
      </c>
      <c r="B324" s="5" t="s">
        <v>266</v>
      </c>
      <c r="C324" s="5" t="s">
        <v>258</v>
      </c>
      <c r="D324" s="5">
        <v>2</v>
      </c>
      <c r="E324" s="2">
        <f>IF(B2242=B2241,E2241+1,1)</f>
        <v>15</v>
      </c>
      <c r="F324" s="5" t="s">
        <v>216</v>
      </c>
      <c r="G324" s="5">
        <v>2</v>
      </c>
      <c r="H324" s="5" t="s">
        <v>259</v>
      </c>
      <c r="I324" s="5">
        <v>2</v>
      </c>
      <c r="J324" s="5">
        <v>167028</v>
      </c>
      <c r="K324" s="5">
        <v>167148</v>
      </c>
      <c r="L324" s="5">
        <f>IF(AND(H2242=C2243,B2242=B2243),J2243,"")</f>
        <v>167278</v>
      </c>
      <c r="M324" s="2">
        <f>VLOOKUP(F2242,Sheet2!$A$2:$B$500,2,FALSE)</f>
        <v>1966.9</v>
      </c>
    </row>
    <row r="325" ht="15.75" customHeight="1" spans="1:13">
      <c r="A325" s="5">
        <v>8307</v>
      </c>
      <c r="B325" s="5" t="s">
        <v>266</v>
      </c>
      <c r="C325" s="5" t="s">
        <v>259</v>
      </c>
      <c r="D325" s="5">
        <v>2</v>
      </c>
      <c r="E325" s="2">
        <f>IF(B2243=B2242,E2242+1,1)</f>
        <v>16</v>
      </c>
      <c r="F325" s="5" t="s">
        <v>214</v>
      </c>
      <c r="G325" s="5">
        <v>2</v>
      </c>
      <c r="H325" s="5" t="s">
        <v>260</v>
      </c>
      <c r="I325" s="5">
        <v>4</v>
      </c>
      <c r="J325" s="5">
        <v>167278</v>
      </c>
      <c r="K325" s="5">
        <v>167278</v>
      </c>
      <c r="L325" s="5">
        <f>IF(AND(H2243=C2244,B2243=B2244),J2244,"")</f>
        <v>167352</v>
      </c>
      <c r="M325" s="2">
        <f>VLOOKUP(F2243,Sheet2!$A$2:$B$500,2,FALSE)</f>
        <v>1968.1</v>
      </c>
    </row>
    <row r="326" ht="15.75" customHeight="1" spans="1:13">
      <c r="A326" s="5">
        <v>8308</v>
      </c>
      <c r="B326" s="5" t="s">
        <v>266</v>
      </c>
      <c r="C326" s="5" t="s">
        <v>260</v>
      </c>
      <c r="D326" s="5">
        <v>4</v>
      </c>
      <c r="E326" s="2">
        <f>IF(B2244=B2243,E2243+1,1)</f>
        <v>17</v>
      </c>
      <c r="F326" s="5" t="s">
        <v>212</v>
      </c>
      <c r="G326" s="5">
        <v>4</v>
      </c>
      <c r="H326" s="5" t="s">
        <v>261</v>
      </c>
      <c r="I326" s="5">
        <v>4</v>
      </c>
      <c r="J326" s="5">
        <v>167352</v>
      </c>
      <c r="K326" s="5">
        <v>167352</v>
      </c>
      <c r="L326" s="5">
        <f>IF(AND(H2244=C2245,B2244=B2245),J2245,"")</f>
        <v>167416</v>
      </c>
      <c r="M326" s="2">
        <f>VLOOKUP(F2244,Sheet2!$A$2:$B$500,2,FALSE)</f>
        <v>1969.68</v>
      </c>
    </row>
    <row r="327" ht="15.75" customHeight="1" spans="1:13">
      <c r="A327" s="5">
        <v>8309</v>
      </c>
      <c r="B327" s="5" t="s">
        <v>266</v>
      </c>
      <c r="C327" s="5" t="s">
        <v>261</v>
      </c>
      <c r="D327" s="5">
        <v>4</v>
      </c>
      <c r="E327" s="2">
        <f>IF(B2245=B2244,E2244+1,1)</f>
        <v>18</v>
      </c>
      <c r="F327" s="5" t="s">
        <v>210</v>
      </c>
      <c r="G327" s="5">
        <v>4</v>
      </c>
      <c r="H327" s="5" t="s">
        <v>262</v>
      </c>
      <c r="I327" s="5">
        <v>2</v>
      </c>
      <c r="J327" s="5">
        <v>167416</v>
      </c>
      <c r="K327" s="5">
        <v>167416</v>
      </c>
      <c r="L327" s="5">
        <f>IF(AND(H2245=C2246,B2245=B2246),J2246,"")</f>
        <v>167490</v>
      </c>
      <c r="M327" s="2">
        <f>VLOOKUP(F2245,Sheet2!$A$2:$B$500,2,FALSE)</f>
        <v>1970.22</v>
      </c>
    </row>
    <row r="328" ht="15.75" customHeight="1" spans="1:13">
      <c r="A328" s="5">
        <v>8310</v>
      </c>
      <c r="B328" s="5" t="s">
        <v>266</v>
      </c>
      <c r="C328" s="5" t="s">
        <v>262</v>
      </c>
      <c r="D328" s="5">
        <v>2</v>
      </c>
      <c r="E328" s="2">
        <f>IF(B2246=B2245,E2245+1,1)</f>
        <v>19</v>
      </c>
      <c r="F328" s="5" t="s">
        <v>208</v>
      </c>
      <c r="G328" s="5">
        <v>2</v>
      </c>
      <c r="H328" s="5" t="s">
        <v>263</v>
      </c>
      <c r="I328" s="5">
        <v>2</v>
      </c>
      <c r="J328" s="5">
        <v>167490</v>
      </c>
      <c r="K328" s="5">
        <v>167490</v>
      </c>
      <c r="L328" s="5">
        <f>IF(AND(H2246=C2247,B2246=B2247),J2247,"")</f>
        <v>167628</v>
      </c>
      <c r="M328" s="2">
        <f>VLOOKUP(F2246,Sheet2!$A$2:$B$500,2,FALSE)</f>
        <v>1971.71</v>
      </c>
    </row>
    <row r="329" ht="15.75" customHeight="1" spans="1:13">
      <c r="A329" s="5">
        <v>8311</v>
      </c>
      <c r="B329" s="5" t="s">
        <v>266</v>
      </c>
      <c r="C329" s="5" t="s">
        <v>263</v>
      </c>
      <c r="D329" s="5">
        <v>2</v>
      </c>
      <c r="E329" s="2">
        <f>IF(B2247=B2246,E2246+1,1)</f>
        <v>20</v>
      </c>
      <c r="F329" s="5" t="s">
        <v>206</v>
      </c>
      <c r="G329" s="5">
        <v>4</v>
      </c>
      <c r="H329" s="5" t="s">
        <v>264</v>
      </c>
      <c r="I329" s="5">
        <v>4</v>
      </c>
      <c r="J329" s="5">
        <v>167628</v>
      </c>
      <c r="K329" s="5">
        <v>167628</v>
      </c>
      <c r="L329" s="5">
        <f>IF(AND(H2247=C2248,B2247=B2248),J2248,"")</f>
        <v>167756</v>
      </c>
      <c r="M329" s="2">
        <f>VLOOKUP(F2247,Sheet2!$A$2:$B$500,2,FALSE)</f>
        <v>1973.67</v>
      </c>
    </row>
    <row r="330" ht="15.75" customHeight="1" spans="1:13">
      <c r="A330" s="5">
        <v>8312</v>
      </c>
      <c r="B330" s="5" t="s">
        <v>266</v>
      </c>
      <c r="C330" s="5" t="s">
        <v>264</v>
      </c>
      <c r="D330" s="5">
        <v>4</v>
      </c>
      <c r="E330" s="2">
        <f>IF(B2248=B2247,E2247+1,1)</f>
        <v>21</v>
      </c>
      <c r="F330" s="5" t="s">
        <v>204</v>
      </c>
      <c r="G330" s="5">
        <v>6</v>
      </c>
      <c r="H330" s="5" t="s">
        <v>265</v>
      </c>
      <c r="I330" s="5">
        <v>4</v>
      </c>
      <c r="J330" s="5">
        <v>167756</v>
      </c>
      <c r="K330" s="5">
        <v>167756</v>
      </c>
      <c r="L330" s="5">
        <f>IF(AND(H2248=C2249,B2248=B2249),J2249,"")</f>
        <v>168066</v>
      </c>
      <c r="M330" s="2">
        <f>VLOOKUP(F2248,Sheet2!$A$2:$B$500,2,FALSE)</f>
        <v>1974.53</v>
      </c>
    </row>
    <row r="331" ht="15.75" customHeight="1" spans="1:13">
      <c r="A331" s="5">
        <v>8313</v>
      </c>
      <c r="B331" s="5" t="s">
        <v>266</v>
      </c>
      <c r="C331" s="5" t="s">
        <v>265</v>
      </c>
      <c r="D331" s="5">
        <v>4</v>
      </c>
      <c r="E331" s="2">
        <f>IF(B2249=B2248,E2248+1,1)</f>
        <v>22</v>
      </c>
      <c r="F331" s="5" t="s">
        <v>202</v>
      </c>
      <c r="G331" s="5">
        <v>2</v>
      </c>
      <c r="H331" s="5"/>
      <c r="I331" s="5"/>
      <c r="J331" s="5">
        <v>168066</v>
      </c>
      <c r="K331" s="5">
        <v>168066</v>
      </c>
      <c r="L331" s="5" t="str">
        <f>IF(AND(H2249=C2250,B2249=B2250),J2250,"")</f>
        <v/>
      </c>
      <c r="M331" s="2">
        <f>VLOOKUP(F2249,Sheet2!$A$2:$B$500,2,FALSE)</f>
        <v>1975.75</v>
      </c>
    </row>
    <row r="332" ht="15.75" customHeight="1" spans="1:13">
      <c r="A332" s="5">
        <v>4254</v>
      </c>
      <c r="B332" s="5" t="s">
        <v>267</v>
      </c>
      <c r="C332" s="5" t="s">
        <v>14</v>
      </c>
      <c r="D332" s="5" t="s">
        <v>14</v>
      </c>
      <c r="E332" s="2">
        <f>IF(B2250=B2249,E2249+1,1)</f>
        <v>1</v>
      </c>
      <c r="F332" s="5" t="s">
        <v>268</v>
      </c>
      <c r="G332" s="5">
        <v>4</v>
      </c>
      <c r="H332" s="5" t="s">
        <v>269</v>
      </c>
      <c r="I332" s="5">
        <v>3</v>
      </c>
      <c r="J332" s="5">
        <v>34610</v>
      </c>
      <c r="K332" s="5">
        <v>34610</v>
      </c>
      <c r="L332" s="5">
        <f>IF(AND(H2250=C2251,B2250=B2251),J2251,"")</f>
        <v>34974</v>
      </c>
      <c r="M332" s="2">
        <f>VLOOKUP(F2250,Sheet2!$A$2:$B$500,2,FALSE)</f>
        <v>823.53</v>
      </c>
    </row>
    <row r="333" ht="15.75" customHeight="1" spans="1:13">
      <c r="A333" s="5">
        <v>4255</v>
      </c>
      <c r="B333" s="5" t="s">
        <v>267</v>
      </c>
      <c r="C333" s="5" t="s">
        <v>269</v>
      </c>
      <c r="D333" s="5">
        <v>3</v>
      </c>
      <c r="E333" s="2">
        <f>IF(B2251=B2250,E2250+1,1)</f>
        <v>2</v>
      </c>
      <c r="F333" s="5" t="s">
        <v>270</v>
      </c>
      <c r="G333" s="5">
        <v>3</v>
      </c>
      <c r="H333" s="5" t="s">
        <v>271</v>
      </c>
      <c r="I333" s="5">
        <v>2</v>
      </c>
      <c r="J333" s="5">
        <v>34974</v>
      </c>
      <c r="K333" s="5">
        <v>34974</v>
      </c>
      <c r="L333" s="5">
        <f>IF(AND(H2251=C2252,B2251=B2252),J2252,"")</f>
        <v>35180</v>
      </c>
      <c r="M333" s="2">
        <f>VLOOKUP(F2251,Sheet2!$A$2:$B$500,2,FALSE)</f>
        <v>830.4</v>
      </c>
    </row>
    <row r="334" ht="15.75" customHeight="1" spans="1:13">
      <c r="A334" s="5">
        <v>4256</v>
      </c>
      <c r="B334" s="5" t="s">
        <v>267</v>
      </c>
      <c r="C334" s="5" t="s">
        <v>271</v>
      </c>
      <c r="D334" s="5">
        <v>2</v>
      </c>
      <c r="E334" s="2">
        <f>IF(B2252=B2251,E2251+1,1)</f>
        <v>3</v>
      </c>
      <c r="F334" s="5" t="s">
        <v>272</v>
      </c>
      <c r="G334" s="5">
        <v>2</v>
      </c>
      <c r="H334" s="5" t="s">
        <v>273</v>
      </c>
      <c r="I334" s="5">
        <v>2</v>
      </c>
      <c r="J334" s="5">
        <v>35180</v>
      </c>
      <c r="K334" s="5">
        <v>35180</v>
      </c>
      <c r="L334" s="5">
        <f>IF(AND(H2252=C2253,B2252=B2253),J2253,"")</f>
        <v>35322</v>
      </c>
      <c r="M334" s="2">
        <f>VLOOKUP(F2252,Sheet2!$A$2:$B$500,2,FALSE)</f>
        <v>833.21</v>
      </c>
    </row>
    <row r="335" ht="15.75" customHeight="1" spans="1:13">
      <c r="A335" s="5">
        <v>4257</v>
      </c>
      <c r="B335" s="5" t="s">
        <v>267</v>
      </c>
      <c r="C335" s="5" t="s">
        <v>273</v>
      </c>
      <c r="D335" s="5">
        <v>2</v>
      </c>
      <c r="E335" s="2">
        <f>IF(B2253=B2252,E2252+1,1)</f>
        <v>4</v>
      </c>
      <c r="F335" s="5" t="s">
        <v>274</v>
      </c>
      <c r="G335" s="5">
        <v>1</v>
      </c>
      <c r="H335" s="5" t="s">
        <v>275</v>
      </c>
      <c r="I335" s="5">
        <v>2</v>
      </c>
      <c r="J335" s="5">
        <v>35322</v>
      </c>
      <c r="K335" s="5">
        <v>35622</v>
      </c>
      <c r="L335" s="5">
        <f>IF(AND(H2253=C2254,B2253=B2254),J2254,"")</f>
        <v>35880</v>
      </c>
      <c r="M335" s="2">
        <f>VLOOKUP(F2253,Sheet2!$A$2:$B$500,2,FALSE)</f>
        <v>835.59</v>
      </c>
    </row>
    <row r="336" ht="15.75" customHeight="1" spans="1:13">
      <c r="A336" s="5">
        <v>4258</v>
      </c>
      <c r="B336" s="5" t="s">
        <v>267</v>
      </c>
      <c r="C336" s="5" t="s">
        <v>275</v>
      </c>
      <c r="D336" s="5">
        <v>2</v>
      </c>
      <c r="E336" s="2">
        <f>IF(B2254=B2253,E2253+1,1)</f>
        <v>5</v>
      </c>
      <c r="F336" s="5" t="s">
        <v>276</v>
      </c>
      <c r="G336" s="5">
        <v>2</v>
      </c>
      <c r="H336" s="5" t="s">
        <v>277</v>
      </c>
      <c r="I336" s="5">
        <v>2</v>
      </c>
      <c r="J336" s="5">
        <v>35880</v>
      </c>
      <c r="K336" s="5">
        <v>35880</v>
      </c>
      <c r="L336" s="5">
        <f>IF(AND(H2254=C2255,B2254=B2255),J2255,"")</f>
        <v>36098</v>
      </c>
      <c r="M336" s="2">
        <f>VLOOKUP(F2254,Sheet2!$A$2:$B$500,2,FALSE)</f>
        <v>837.48</v>
      </c>
    </row>
    <row r="337" ht="15.75" customHeight="1" spans="1:13">
      <c r="A337" s="5">
        <v>4259</v>
      </c>
      <c r="B337" s="5" t="s">
        <v>267</v>
      </c>
      <c r="C337" s="5" t="s">
        <v>277</v>
      </c>
      <c r="D337" s="5">
        <v>2</v>
      </c>
      <c r="E337" s="2">
        <f>IF(B2255=B2254,E2254+1,1)</f>
        <v>6</v>
      </c>
      <c r="F337" s="5" t="s">
        <v>278</v>
      </c>
      <c r="G337" s="5">
        <v>3</v>
      </c>
      <c r="H337" s="5" t="s">
        <v>279</v>
      </c>
      <c r="I337" s="5">
        <v>2</v>
      </c>
      <c r="J337" s="5">
        <v>36098</v>
      </c>
      <c r="K337" s="5">
        <v>36098</v>
      </c>
      <c r="L337" s="5">
        <f>IF(AND(H2255=C2256,B2255=B2256),J2256,"")</f>
        <v>36398</v>
      </c>
      <c r="M337" s="2">
        <f>VLOOKUP(F2255,Sheet2!$A$2:$B$500,2,FALSE)</f>
        <v>841.48</v>
      </c>
    </row>
    <row r="338" ht="15.75" customHeight="1" spans="1:13">
      <c r="A338" s="5">
        <v>4260</v>
      </c>
      <c r="B338" s="5" t="s">
        <v>267</v>
      </c>
      <c r="C338" s="5" t="s">
        <v>279</v>
      </c>
      <c r="D338" s="5">
        <v>2</v>
      </c>
      <c r="E338" s="2">
        <f>IF(B2256=B2255,E2255+1,1)</f>
        <v>7</v>
      </c>
      <c r="F338" s="5" t="s">
        <v>280</v>
      </c>
      <c r="G338" s="5">
        <v>2</v>
      </c>
      <c r="H338" s="5" t="s">
        <v>281</v>
      </c>
      <c r="I338" s="5">
        <v>1</v>
      </c>
      <c r="J338" s="5">
        <v>36398</v>
      </c>
      <c r="K338" s="5">
        <v>36398</v>
      </c>
      <c r="L338" s="5">
        <f>IF(AND(H2256=C2257,B2256=B2257),J2257,"")</f>
        <v>36698</v>
      </c>
      <c r="M338" s="2">
        <f>VLOOKUP(F2256,Sheet2!$A$2:$B$500,2,FALSE)</f>
        <v>847.88</v>
      </c>
    </row>
    <row r="339" ht="15.75" customHeight="1" spans="1:13">
      <c r="A339" s="5">
        <v>4261</v>
      </c>
      <c r="B339" s="5" t="s">
        <v>267</v>
      </c>
      <c r="C339" s="5" t="s">
        <v>281</v>
      </c>
      <c r="D339" s="5">
        <v>1</v>
      </c>
      <c r="E339" s="2">
        <f>IF(B2257=B2256,E2256+1,1)</f>
        <v>8</v>
      </c>
      <c r="F339" s="5" t="s">
        <v>282</v>
      </c>
      <c r="G339" s="5">
        <v>1</v>
      </c>
      <c r="H339" s="5" t="s">
        <v>283</v>
      </c>
      <c r="I339" s="5">
        <v>1</v>
      </c>
      <c r="J339" s="5">
        <v>36698</v>
      </c>
      <c r="K339" s="5">
        <v>36698</v>
      </c>
      <c r="L339" s="5">
        <f>IF(AND(H2257=C2258,B2257=B2258),J2258,"")</f>
        <v>36842</v>
      </c>
      <c r="M339" s="2">
        <f>VLOOKUP(F2257,Sheet2!$A$2:$B$500,2,FALSE)</f>
        <v>852.78</v>
      </c>
    </row>
    <row r="340" ht="15.75" customHeight="1" spans="1:13">
      <c r="A340" s="5">
        <v>4262</v>
      </c>
      <c r="B340" s="5" t="s">
        <v>267</v>
      </c>
      <c r="C340" s="5" t="s">
        <v>283</v>
      </c>
      <c r="D340" s="5">
        <v>1</v>
      </c>
      <c r="E340" s="2">
        <f>IF(B2258=B2257,E2257+1,1)</f>
        <v>9</v>
      </c>
      <c r="F340" s="5" t="s">
        <v>284</v>
      </c>
      <c r="G340" s="5">
        <v>3</v>
      </c>
      <c r="H340" s="5" t="s">
        <v>285</v>
      </c>
      <c r="I340" s="5">
        <v>1</v>
      </c>
      <c r="J340" s="5">
        <v>36842</v>
      </c>
      <c r="K340" s="5">
        <v>36842</v>
      </c>
      <c r="L340" s="5">
        <f>IF(AND(H2258=C2259,B2258=B2259),J2259,"")</f>
        <v>36994</v>
      </c>
      <c r="M340" s="2">
        <f>VLOOKUP(F2258,Sheet2!$A$2:$B$500,2,FALSE)</f>
        <v>855.28</v>
      </c>
    </row>
    <row r="341" ht="15.75" customHeight="1" spans="1:13">
      <c r="A341" s="5">
        <v>4263</v>
      </c>
      <c r="B341" s="5" t="s">
        <v>267</v>
      </c>
      <c r="C341" s="5" t="s">
        <v>285</v>
      </c>
      <c r="D341" s="5">
        <v>1</v>
      </c>
      <c r="E341" s="2">
        <f>IF(B2259=B2258,E2258+1,1)</f>
        <v>10</v>
      </c>
      <c r="F341" s="5" t="s">
        <v>286</v>
      </c>
      <c r="G341" s="5">
        <v>2</v>
      </c>
      <c r="H341" s="5" t="s">
        <v>287</v>
      </c>
      <c r="I341" s="5">
        <v>2</v>
      </c>
      <c r="J341" s="5">
        <v>36994</v>
      </c>
      <c r="K341" s="5">
        <v>36994</v>
      </c>
      <c r="L341" s="5">
        <f>IF(AND(H2259=C2260,B2259=B2260),J2260,"")</f>
        <v>37212</v>
      </c>
      <c r="M341" s="2">
        <f>VLOOKUP(F2259,Sheet2!$A$2:$B$500,2,FALSE)</f>
        <v>858.78</v>
      </c>
    </row>
    <row r="342" ht="15.75" customHeight="1" spans="1:13">
      <c r="A342" s="5">
        <v>4264</v>
      </c>
      <c r="B342" s="5" t="s">
        <v>267</v>
      </c>
      <c r="C342" s="5" t="s">
        <v>287</v>
      </c>
      <c r="D342" s="5">
        <v>2</v>
      </c>
      <c r="E342" s="2">
        <f>IF(B2260=B2259,E2259+1,1)</f>
        <v>11</v>
      </c>
      <c r="F342" s="5" t="s">
        <v>288</v>
      </c>
      <c r="G342" s="5">
        <v>2</v>
      </c>
      <c r="H342" s="5" t="s">
        <v>289</v>
      </c>
      <c r="I342" s="5">
        <v>2</v>
      </c>
      <c r="J342" s="5">
        <v>37212</v>
      </c>
      <c r="K342" s="5">
        <v>37212</v>
      </c>
      <c r="L342" s="5">
        <f>IF(AND(H2260=C2261,B2260=B2261),J2261,"")</f>
        <v>37442</v>
      </c>
      <c r="M342" s="2">
        <f>VLOOKUP(F2260,Sheet2!$A$2:$B$500,2,FALSE)</f>
        <v>862.82</v>
      </c>
    </row>
    <row r="343" ht="15.75" customHeight="1" spans="1:13">
      <c r="A343" s="5">
        <v>4265</v>
      </c>
      <c r="B343" s="5" t="s">
        <v>267</v>
      </c>
      <c r="C343" s="5" t="s">
        <v>289</v>
      </c>
      <c r="D343" s="5">
        <v>2</v>
      </c>
      <c r="E343" s="2">
        <f>IF(B2261=B2260,E2260+1,1)</f>
        <v>12</v>
      </c>
      <c r="F343" s="5" t="s">
        <v>290</v>
      </c>
      <c r="G343" s="5">
        <v>2</v>
      </c>
      <c r="H343" s="5" t="s">
        <v>291</v>
      </c>
      <c r="I343" s="5">
        <v>3</v>
      </c>
      <c r="J343" s="5">
        <v>37442</v>
      </c>
      <c r="K343" s="5">
        <v>37442</v>
      </c>
      <c r="L343" s="5">
        <f>IF(AND(H2261=C2262,B2261=B2262),J2262,"")</f>
        <v>37720</v>
      </c>
      <c r="M343" s="2">
        <f>VLOOKUP(F2261,Sheet2!$A$2:$B$500,2,FALSE)</f>
        <v>868.03</v>
      </c>
    </row>
    <row r="344" ht="15.75" customHeight="1" spans="1:13">
      <c r="A344" s="5">
        <v>4266</v>
      </c>
      <c r="B344" s="5" t="s">
        <v>267</v>
      </c>
      <c r="C344" s="5" t="s">
        <v>291</v>
      </c>
      <c r="D344" s="5">
        <v>3</v>
      </c>
      <c r="E344" s="2">
        <f>IF(B2262=B2261,E2261+1,1)</f>
        <v>13</v>
      </c>
      <c r="F344" s="5" t="s">
        <v>292</v>
      </c>
      <c r="G344" s="5">
        <v>3</v>
      </c>
      <c r="H344" s="5" t="s">
        <v>293</v>
      </c>
      <c r="I344" s="5">
        <v>3</v>
      </c>
      <c r="J344" s="5">
        <v>37720</v>
      </c>
      <c r="K344" s="5">
        <v>37720</v>
      </c>
      <c r="L344" s="5">
        <f>IF(AND(H2262=C2263,B2262=B2263),J2263,"")</f>
        <v>37846</v>
      </c>
      <c r="M344" s="2">
        <f>VLOOKUP(F2262,Sheet2!$A$2:$B$500,2,FALSE)</f>
        <v>872.03</v>
      </c>
    </row>
    <row r="345" ht="15.75" customHeight="1" spans="1:13">
      <c r="A345" s="5">
        <v>4267</v>
      </c>
      <c r="B345" s="5" t="s">
        <v>267</v>
      </c>
      <c r="C345" s="5" t="s">
        <v>293</v>
      </c>
      <c r="D345" s="5">
        <v>3</v>
      </c>
      <c r="E345" s="2">
        <f>IF(B2263=B2262,E2262+1,1)</f>
        <v>14</v>
      </c>
      <c r="F345" s="5" t="s">
        <v>294</v>
      </c>
      <c r="G345" s="5">
        <v>1</v>
      </c>
      <c r="H345" s="5" t="s">
        <v>295</v>
      </c>
      <c r="I345" s="5">
        <v>2</v>
      </c>
      <c r="J345" s="5">
        <v>37846</v>
      </c>
      <c r="K345" s="5">
        <v>38146</v>
      </c>
      <c r="L345" s="5">
        <f>IF(AND(H2263=C2264,B2263=B2264),J2264,"")</f>
        <v>38566</v>
      </c>
      <c r="M345" s="2">
        <f>VLOOKUP(F2263,Sheet2!$A$2:$B$500,2,FALSE)</f>
        <v>872.83</v>
      </c>
    </row>
    <row r="346" ht="15.75" customHeight="1" spans="1:13">
      <c r="A346" s="5">
        <v>4268</v>
      </c>
      <c r="B346" s="5" t="s">
        <v>267</v>
      </c>
      <c r="C346" s="5" t="s">
        <v>295</v>
      </c>
      <c r="D346" s="5">
        <v>2</v>
      </c>
      <c r="E346" s="2">
        <f>IF(B2264=B2263,E2263+1,1)</f>
        <v>15</v>
      </c>
      <c r="F346" s="5" t="s">
        <v>296</v>
      </c>
      <c r="G346" s="5">
        <v>4</v>
      </c>
      <c r="H346" s="5" t="s">
        <v>297</v>
      </c>
      <c r="I346" s="5">
        <v>3</v>
      </c>
      <c r="J346" s="5">
        <v>38566</v>
      </c>
      <c r="K346" s="5">
        <v>38566</v>
      </c>
      <c r="L346" s="5">
        <f>IF(AND(H2264=C2265,B2264=B2265),J2265,"")</f>
        <v>38878</v>
      </c>
      <c r="M346" s="2">
        <f>VLOOKUP(F2264,Sheet2!$A$2:$B$500,2,FALSE)</f>
        <v>881.23</v>
      </c>
    </row>
    <row r="347" ht="15.75" customHeight="1" spans="1:13">
      <c r="A347" s="5">
        <v>4269</v>
      </c>
      <c r="B347" s="5" t="s">
        <v>267</v>
      </c>
      <c r="C347" s="5" t="s">
        <v>297</v>
      </c>
      <c r="D347" s="5">
        <v>3</v>
      </c>
      <c r="E347" s="2">
        <f>IF(B2265=B2264,E2264+1,1)</f>
        <v>16</v>
      </c>
      <c r="F347" s="5" t="s">
        <v>298</v>
      </c>
      <c r="G347" s="5">
        <v>5</v>
      </c>
      <c r="H347" s="5" t="s">
        <v>299</v>
      </c>
      <c r="I347" s="5">
        <v>3</v>
      </c>
      <c r="J347" s="5">
        <v>38878</v>
      </c>
      <c r="K347" s="5">
        <v>38878</v>
      </c>
      <c r="L347" s="5">
        <f>IF(AND(H2265=C2266,B2265=B2266),J2266,"")</f>
        <v>39184</v>
      </c>
      <c r="M347" s="2">
        <f>VLOOKUP(F2265,Sheet2!$A$2:$B$500,2,FALSE)</f>
        <v>888.73</v>
      </c>
    </row>
    <row r="348" ht="15.75" customHeight="1" spans="1:13">
      <c r="A348" s="5">
        <v>4270</v>
      </c>
      <c r="B348" s="5" t="s">
        <v>267</v>
      </c>
      <c r="C348" s="5" t="s">
        <v>299</v>
      </c>
      <c r="D348" s="5">
        <v>3</v>
      </c>
      <c r="E348" s="2">
        <f>IF(B2266=B2265,E2265+1,1)</f>
        <v>17</v>
      </c>
      <c r="F348" s="5" t="s">
        <v>300</v>
      </c>
      <c r="G348" s="5">
        <v>4</v>
      </c>
      <c r="H348" s="5" t="s">
        <v>301</v>
      </c>
      <c r="I348" s="5">
        <v>3</v>
      </c>
      <c r="J348" s="5">
        <v>39184</v>
      </c>
      <c r="K348" s="5">
        <v>39184</v>
      </c>
      <c r="L348" s="5">
        <f>IF(AND(H2266=C2267,B2266=B2267),J2267,"")</f>
        <v>39604</v>
      </c>
      <c r="M348" s="2">
        <f>VLOOKUP(F2266,Sheet2!$A$2:$B$500,2,FALSE)</f>
        <v>895.73</v>
      </c>
    </row>
    <row r="349" ht="15.75" customHeight="1" spans="1:13">
      <c r="A349" s="5">
        <v>4271</v>
      </c>
      <c r="B349" s="5" t="s">
        <v>267</v>
      </c>
      <c r="C349" s="5" t="s">
        <v>301</v>
      </c>
      <c r="D349" s="5">
        <v>3</v>
      </c>
      <c r="E349" s="2">
        <f>IF(B2267=B2266,E2266+1,1)</f>
        <v>18</v>
      </c>
      <c r="F349" s="5" t="s">
        <v>302</v>
      </c>
      <c r="G349" s="5">
        <v>3</v>
      </c>
      <c r="H349" s="5" t="s">
        <v>303</v>
      </c>
      <c r="I349" s="5">
        <v>3</v>
      </c>
      <c r="J349" s="5">
        <v>39604</v>
      </c>
      <c r="K349" s="5">
        <v>39724</v>
      </c>
      <c r="L349" s="5">
        <f>IF(AND(H2267=C2268,B2267=B2268),J2268,"")</f>
        <v>40184</v>
      </c>
      <c r="M349" s="2">
        <f>VLOOKUP(F2267,Sheet2!$A$2:$B$500,2,FALSE)</f>
        <v>903.76</v>
      </c>
    </row>
    <row r="350" ht="15.75" customHeight="1" spans="1:13">
      <c r="A350" s="5">
        <v>4272</v>
      </c>
      <c r="B350" s="5" t="s">
        <v>267</v>
      </c>
      <c r="C350" s="5" t="s">
        <v>303</v>
      </c>
      <c r="D350" s="5">
        <v>3</v>
      </c>
      <c r="E350" s="2">
        <f>IF(B2268=B2267,E2267+1,1)</f>
        <v>19</v>
      </c>
      <c r="F350" s="5" t="s">
        <v>304</v>
      </c>
      <c r="G350" s="5">
        <v>4</v>
      </c>
      <c r="H350" s="5" t="s">
        <v>305</v>
      </c>
      <c r="I350" s="5">
        <v>3</v>
      </c>
      <c r="J350" s="5">
        <v>40184</v>
      </c>
      <c r="K350" s="5">
        <v>40184</v>
      </c>
      <c r="L350" s="5">
        <f>IF(AND(H2268=C2269,B2268=B2269),J2269,"")</f>
        <v>40560</v>
      </c>
      <c r="M350" s="2">
        <f>VLOOKUP(F2268,Sheet2!$A$2:$B$500,2,FALSE)</f>
        <v>914.24</v>
      </c>
    </row>
    <row r="351" ht="15.75" customHeight="1" spans="1:13">
      <c r="A351" s="5">
        <v>4273</v>
      </c>
      <c r="B351" s="5" t="s">
        <v>267</v>
      </c>
      <c r="C351" s="5" t="s">
        <v>305</v>
      </c>
      <c r="D351" s="5">
        <v>3</v>
      </c>
      <c r="E351" s="2">
        <f>IF(B2269=B2268,E2268+1,1)</f>
        <v>20</v>
      </c>
      <c r="F351" s="5" t="s">
        <v>306</v>
      </c>
      <c r="G351" s="5">
        <v>5</v>
      </c>
      <c r="H351" s="5" t="s">
        <v>307</v>
      </c>
      <c r="I351" s="5">
        <v>3</v>
      </c>
      <c r="J351" s="5">
        <v>40560</v>
      </c>
      <c r="K351" s="5">
        <v>40560</v>
      </c>
      <c r="L351" s="5">
        <f>IF(AND(H2269=C2270,B2269=B2270),J2270,"")</f>
        <v>40920</v>
      </c>
      <c r="M351" s="2">
        <f>VLOOKUP(F2269,Sheet2!$A$2:$B$500,2,FALSE)</f>
        <v>922.17</v>
      </c>
    </row>
    <row r="352" ht="15.75" customHeight="1" spans="1:13">
      <c r="A352" s="5">
        <v>4274</v>
      </c>
      <c r="B352" s="5" t="s">
        <v>267</v>
      </c>
      <c r="C352" s="5" t="s">
        <v>307</v>
      </c>
      <c r="D352" s="5">
        <v>3</v>
      </c>
      <c r="E352" s="2">
        <f>IF(B2270=B2269,E2269+1,1)</f>
        <v>21</v>
      </c>
      <c r="F352" s="5" t="s">
        <v>308</v>
      </c>
      <c r="G352" s="5">
        <v>5</v>
      </c>
      <c r="H352" s="5" t="s">
        <v>309</v>
      </c>
      <c r="I352" s="5">
        <v>3</v>
      </c>
      <c r="J352" s="5">
        <v>40920</v>
      </c>
      <c r="K352" s="5">
        <v>40920</v>
      </c>
      <c r="L352" s="5">
        <f>IF(AND(H2270=C2271,B2270=B2271),J2271,"")</f>
        <v>41280</v>
      </c>
      <c r="M352" s="2">
        <f>VLOOKUP(F2270,Sheet2!$A$2:$B$500,2,FALSE)</f>
        <v>928.67</v>
      </c>
    </row>
    <row r="353" ht="15.75" customHeight="1" spans="1:13">
      <c r="A353" s="5">
        <v>4275</v>
      </c>
      <c r="B353" s="5" t="s">
        <v>267</v>
      </c>
      <c r="C353" s="5" t="s">
        <v>309</v>
      </c>
      <c r="D353" s="5">
        <v>3</v>
      </c>
      <c r="E353" s="2">
        <f>IF(B2271=B2270,E2270+1,1)</f>
        <v>22</v>
      </c>
      <c r="F353" s="5" t="s">
        <v>310</v>
      </c>
      <c r="G353" s="5">
        <v>5</v>
      </c>
      <c r="H353" s="5" t="s">
        <v>311</v>
      </c>
      <c r="I353" s="5">
        <v>3</v>
      </c>
      <c r="J353" s="5">
        <v>41280</v>
      </c>
      <c r="K353" s="5">
        <v>41400</v>
      </c>
      <c r="L353" s="5">
        <f>IF(AND(H2271=C2272,B2271=B2272),J2272,"")</f>
        <v>41776</v>
      </c>
      <c r="M353" s="2">
        <f>VLOOKUP(F2271,Sheet2!$A$2:$B$500,2,FALSE)</f>
        <v>934.97</v>
      </c>
    </row>
    <row r="354" ht="15.75" customHeight="1" spans="1:13">
      <c r="A354" s="5">
        <v>4276</v>
      </c>
      <c r="B354" s="5" t="s">
        <v>267</v>
      </c>
      <c r="C354" s="5" t="s">
        <v>311</v>
      </c>
      <c r="D354" s="5">
        <v>3</v>
      </c>
      <c r="E354" s="2">
        <f>IF(B2272=B2271,E2271+1,1)</f>
        <v>23</v>
      </c>
      <c r="F354" s="5" t="s">
        <v>312</v>
      </c>
      <c r="G354" s="5">
        <v>5</v>
      </c>
      <c r="H354" s="5" t="s">
        <v>313</v>
      </c>
      <c r="I354" s="5">
        <v>3</v>
      </c>
      <c r="J354" s="5">
        <v>41776</v>
      </c>
      <c r="K354" s="5">
        <v>41776</v>
      </c>
      <c r="L354" s="5">
        <f>IF(AND(H2272=C2273,B2272=B2273),J2273,"")</f>
        <v>42376</v>
      </c>
      <c r="M354" s="2">
        <f>VLOOKUP(F2272,Sheet2!$A$2:$B$500,2,FALSE)</f>
        <v>942.97</v>
      </c>
    </row>
    <row r="355" ht="15.75" customHeight="1" spans="1:13">
      <c r="A355" s="5">
        <v>4277</v>
      </c>
      <c r="B355" s="5" t="s">
        <v>267</v>
      </c>
      <c r="C355" s="5" t="s">
        <v>313</v>
      </c>
      <c r="D355" s="5">
        <v>3</v>
      </c>
      <c r="E355" s="2">
        <f>IF(B2273=B2272,E2272+1,1)</f>
        <v>24</v>
      </c>
      <c r="F355" s="5" t="s">
        <v>314</v>
      </c>
      <c r="G355" s="5">
        <v>3</v>
      </c>
      <c r="H355" s="5" t="s">
        <v>315</v>
      </c>
      <c r="I355" s="5">
        <v>3</v>
      </c>
      <c r="J355" s="5">
        <v>42376</v>
      </c>
      <c r="K355" s="5">
        <v>42376</v>
      </c>
      <c r="L355" s="5">
        <f>IF(AND(H2273=C2274,B2273=B2274),J2274,"")</f>
        <v>42748</v>
      </c>
      <c r="M355" s="2">
        <f>VLOOKUP(F2273,Sheet2!$A$2:$B$500,2,FALSE)</f>
        <v>951.77</v>
      </c>
    </row>
    <row r="356" ht="15.75" customHeight="1" spans="1:13">
      <c r="A356" s="5">
        <v>4278</v>
      </c>
      <c r="B356" s="5" t="s">
        <v>267</v>
      </c>
      <c r="C356" s="5" t="s">
        <v>315</v>
      </c>
      <c r="D356" s="5">
        <v>3</v>
      </c>
      <c r="E356" s="2">
        <f>IF(B2274=B2273,E2273+1,1)</f>
        <v>25</v>
      </c>
      <c r="F356" s="5" t="s">
        <v>316</v>
      </c>
      <c r="G356" s="5">
        <v>2</v>
      </c>
      <c r="H356" s="5" t="s">
        <v>317</v>
      </c>
      <c r="I356" s="5">
        <v>2</v>
      </c>
      <c r="J356" s="5">
        <v>42748</v>
      </c>
      <c r="K356" s="5">
        <v>42748</v>
      </c>
      <c r="L356" s="5">
        <f>IF(AND(H2274=C2275,B2274=B2275),J2275,"")</f>
        <v>43456</v>
      </c>
      <c r="M356" s="2">
        <f>VLOOKUP(F2274,Sheet2!$A$2:$B$500,2,FALSE)</f>
        <v>959.41</v>
      </c>
    </row>
    <row r="357" ht="15.75" customHeight="1" spans="1:13">
      <c r="A357" s="5">
        <v>4279</v>
      </c>
      <c r="B357" s="5" t="s">
        <v>267</v>
      </c>
      <c r="C357" s="5" t="s">
        <v>317</v>
      </c>
      <c r="D357" s="5">
        <v>2</v>
      </c>
      <c r="E357" s="2">
        <f>IF(B2275=B2274,E2274+1,1)</f>
        <v>26</v>
      </c>
      <c r="F357" s="5" t="s">
        <v>318</v>
      </c>
      <c r="G357" s="5">
        <v>4</v>
      </c>
      <c r="H357" s="5" t="s">
        <v>319</v>
      </c>
      <c r="I357" s="5">
        <v>2</v>
      </c>
      <c r="J357" s="5">
        <v>43456</v>
      </c>
      <c r="K357" s="5">
        <v>43456</v>
      </c>
      <c r="L357" s="5">
        <f>IF(AND(H2275=C2276,B2275=B2276),J2276,"")</f>
        <v>43876</v>
      </c>
      <c r="M357" s="2">
        <f>VLOOKUP(F2275,Sheet2!$A$2:$B$500,2,FALSE)</f>
        <v>970.77</v>
      </c>
    </row>
    <row r="358" ht="15.75" customHeight="1" spans="1:13">
      <c r="A358" s="5">
        <v>4280</v>
      </c>
      <c r="B358" s="5" t="s">
        <v>267</v>
      </c>
      <c r="C358" s="5" t="s">
        <v>319</v>
      </c>
      <c r="D358" s="5">
        <v>2</v>
      </c>
      <c r="E358" s="2">
        <f>IF(B2276=B2275,E2275+1,1)</f>
        <v>27</v>
      </c>
      <c r="F358" s="5" t="s">
        <v>320</v>
      </c>
      <c r="G358" s="5">
        <v>3</v>
      </c>
      <c r="H358" s="5" t="s">
        <v>321</v>
      </c>
      <c r="I358" s="5">
        <v>3</v>
      </c>
      <c r="J358" s="5">
        <v>43876</v>
      </c>
      <c r="K358" s="5">
        <v>43876</v>
      </c>
      <c r="L358" s="5">
        <f>IF(AND(H2276=C2277,B2276=B2277),J2277,"")</f>
        <v>44246</v>
      </c>
      <c r="M358" s="2">
        <f>VLOOKUP(F2276,Sheet2!$A$2:$B$500,2,FALSE)</f>
        <v>978.25</v>
      </c>
    </row>
    <row r="359" ht="15.75" customHeight="1" spans="1:13">
      <c r="A359" s="5">
        <v>4281</v>
      </c>
      <c r="B359" s="5" t="s">
        <v>267</v>
      </c>
      <c r="C359" s="5" t="s">
        <v>321</v>
      </c>
      <c r="D359" s="5">
        <v>3</v>
      </c>
      <c r="E359" s="2">
        <f>IF(B2277=B2276,E2276+1,1)</f>
        <v>28</v>
      </c>
      <c r="F359" s="5" t="s">
        <v>322</v>
      </c>
      <c r="G359" s="5">
        <v>5</v>
      </c>
      <c r="H359" s="5" t="s">
        <v>323</v>
      </c>
      <c r="I359" s="5">
        <v>3</v>
      </c>
      <c r="J359" s="5">
        <v>44246</v>
      </c>
      <c r="K359" s="5">
        <v>44246</v>
      </c>
      <c r="L359" s="5">
        <f>IF(AND(H2277=C2278,B2277=B2278),J2278,"")</f>
        <v>44706</v>
      </c>
      <c r="M359" s="2">
        <f>VLOOKUP(F2277,Sheet2!$A$2:$B$500,2,FALSE)</f>
        <v>985.65</v>
      </c>
    </row>
    <row r="360" ht="15.75" customHeight="1" spans="1:13">
      <c r="A360" s="5">
        <v>4282</v>
      </c>
      <c r="B360" s="5" t="s">
        <v>267</v>
      </c>
      <c r="C360" s="5" t="s">
        <v>323</v>
      </c>
      <c r="D360" s="5">
        <v>3</v>
      </c>
      <c r="E360" s="2">
        <f>IF(B2278=B2277,E2277+1,1)</f>
        <v>29</v>
      </c>
      <c r="F360" s="5" t="s">
        <v>324</v>
      </c>
      <c r="G360" s="5">
        <v>2</v>
      </c>
      <c r="H360" s="5" t="s">
        <v>325</v>
      </c>
      <c r="I360" s="5">
        <v>2</v>
      </c>
      <c r="J360" s="5">
        <v>44706</v>
      </c>
      <c r="K360" s="5">
        <v>44706</v>
      </c>
      <c r="L360" s="5">
        <f>IF(AND(H2278=C2279,B2278=B2279),J2279,"")</f>
        <v>45486</v>
      </c>
      <c r="M360" s="2">
        <f>VLOOKUP(F2278,Sheet2!$A$2:$B$500,2,FALSE)</f>
        <v>996.25</v>
      </c>
    </row>
    <row r="361" ht="15.75" customHeight="1" spans="1:13">
      <c r="A361" s="5">
        <v>4283</v>
      </c>
      <c r="B361" s="5" t="s">
        <v>267</v>
      </c>
      <c r="C361" s="5" t="s">
        <v>325</v>
      </c>
      <c r="D361" s="5">
        <v>2</v>
      </c>
      <c r="E361" s="2">
        <f>IF(B2279=B2278,E2278+1,1)</f>
        <v>30</v>
      </c>
      <c r="F361" s="5" t="s">
        <v>326</v>
      </c>
      <c r="G361" s="5">
        <v>2</v>
      </c>
      <c r="H361" s="5"/>
      <c r="I361" s="5"/>
      <c r="J361" s="5">
        <v>45486</v>
      </c>
      <c r="K361" s="5">
        <v>45486</v>
      </c>
      <c r="L361" s="5" t="str">
        <f>IF(AND(H2279=C2280,B2279=B2280),J2280,"")</f>
        <v/>
      </c>
      <c r="M361" s="2">
        <f>VLOOKUP(F2279,Sheet2!$A$2:$B$500,2,FALSE)</f>
        <v>1008.05</v>
      </c>
    </row>
    <row r="362" ht="15.75" customHeight="1" spans="1:13">
      <c r="A362" s="5">
        <v>9618</v>
      </c>
      <c r="B362" s="5" t="s">
        <v>327</v>
      </c>
      <c r="C362" s="5" t="s">
        <v>14</v>
      </c>
      <c r="D362" s="5" t="s">
        <v>14</v>
      </c>
      <c r="E362" s="2">
        <f>IF(B2280=B2279,E2279+1,1)</f>
        <v>1</v>
      </c>
      <c r="F362" s="5" t="s">
        <v>268</v>
      </c>
      <c r="G362" s="5">
        <v>4</v>
      </c>
      <c r="H362" s="5" t="s">
        <v>269</v>
      </c>
      <c r="I362" s="5">
        <v>3</v>
      </c>
      <c r="J362" s="5">
        <v>121010</v>
      </c>
      <c r="K362" s="5">
        <v>121010</v>
      </c>
      <c r="L362" s="5">
        <f>IF(AND(H2280=C2281,B2280=B2281),J2281,"")</f>
        <v>121374</v>
      </c>
      <c r="M362" s="2">
        <f>VLOOKUP(F2280,Sheet2!$A$2:$B$500,2,FALSE)</f>
        <v>823.53</v>
      </c>
    </row>
    <row r="363" ht="15.75" customHeight="1" spans="1:13">
      <c r="A363" s="5">
        <v>9619</v>
      </c>
      <c r="B363" s="5" t="s">
        <v>327</v>
      </c>
      <c r="C363" s="5" t="s">
        <v>269</v>
      </c>
      <c r="D363" s="5">
        <v>3</v>
      </c>
      <c r="E363" s="2">
        <f>IF(B2281=B2280,E2280+1,1)</f>
        <v>2</v>
      </c>
      <c r="F363" s="5" t="s">
        <v>270</v>
      </c>
      <c r="G363" s="5">
        <v>3</v>
      </c>
      <c r="H363" s="5" t="s">
        <v>271</v>
      </c>
      <c r="I363" s="5">
        <v>2</v>
      </c>
      <c r="J363" s="5">
        <v>121374</v>
      </c>
      <c r="K363" s="5">
        <v>121374</v>
      </c>
      <c r="L363" s="5">
        <f>IF(AND(H2281=C2282,B2281=B2282),J2282,"")</f>
        <v>121580</v>
      </c>
      <c r="M363" s="2">
        <f>VLOOKUP(F2281,Sheet2!$A$2:$B$500,2,FALSE)</f>
        <v>830.4</v>
      </c>
    </row>
    <row r="364" ht="15.75" customHeight="1" spans="1:13">
      <c r="A364" s="5">
        <v>9620</v>
      </c>
      <c r="B364" s="5" t="s">
        <v>327</v>
      </c>
      <c r="C364" s="5" t="s">
        <v>271</v>
      </c>
      <c r="D364" s="5">
        <v>2</v>
      </c>
      <c r="E364" s="2">
        <f>IF(B2282=B2281,E2281+1,1)</f>
        <v>3</v>
      </c>
      <c r="F364" s="5" t="s">
        <v>272</v>
      </c>
      <c r="G364" s="5">
        <v>2</v>
      </c>
      <c r="H364" s="5" t="s">
        <v>273</v>
      </c>
      <c r="I364" s="5">
        <v>2</v>
      </c>
      <c r="J364" s="5">
        <v>121580</v>
      </c>
      <c r="K364" s="5">
        <v>121580</v>
      </c>
      <c r="L364" s="5">
        <f>IF(AND(H2282=C2283,B2282=B2283),J2283,"")</f>
        <v>121722</v>
      </c>
      <c r="M364" s="2">
        <f>VLOOKUP(F2282,Sheet2!$A$2:$B$500,2,FALSE)</f>
        <v>833.21</v>
      </c>
    </row>
    <row r="365" ht="15.75" customHeight="1" spans="1:13">
      <c r="A365" s="5">
        <v>9621</v>
      </c>
      <c r="B365" s="5" t="s">
        <v>327</v>
      </c>
      <c r="C365" s="5" t="s">
        <v>273</v>
      </c>
      <c r="D365" s="5">
        <v>2</v>
      </c>
      <c r="E365" s="2">
        <f>IF(B2283=B2282,E2282+1,1)</f>
        <v>4</v>
      </c>
      <c r="F365" s="5" t="s">
        <v>274</v>
      </c>
      <c r="G365" s="5">
        <v>7</v>
      </c>
      <c r="H365" s="5" t="s">
        <v>275</v>
      </c>
      <c r="I365" s="5">
        <v>2</v>
      </c>
      <c r="J365" s="5">
        <v>121722</v>
      </c>
      <c r="K365" s="5">
        <v>122022</v>
      </c>
      <c r="L365" s="5">
        <f>IF(AND(H2283=C2284,B2283=B2284),J2284,"")</f>
        <v>122280</v>
      </c>
      <c r="M365" s="2">
        <f>VLOOKUP(F2283,Sheet2!$A$2:$B$500,2,FALSE)</f>
        <v>835.59</v>
      </c>
    </row>
    <row r="366" ht="15.75" customHeight="1" spans="1:13">
      <c r="A366" s="5">
        <v>9622</v>
      </c>
      <c r="B366" s="5" t="s">
        <v>327</v>
      </c>
      <c r="C366" s="5" t="s">
        <v>275</v>
      </c>
      <c r="D366" s="5">
        <v>2</v>
      </c>
      <c r="E366" s="2">
        <f>IF(B2284=B2283,E2283+1,1)</f>
        <v>5</v>
      </c>
      <c r="F366" s="5" t="s">
        <v>276</v>
      </c>
      <c r="G366" s="5">
        <v>2</v>
      </c>
      <c r="H366" s="5" t="s">
        <v>277</v>
      </c>
      <c r="I366" s="5">
        <v>2</v>
      </c>
      <c r="J366" s="5">
        <v>122280</v>
      </c>
      <c r="K366" s="5">
        <v>122280</v>
      </c>
      <c r="L366" s="5">
        <f>IF(AND(H2284=C2285,B2284=B2285),J2285,"")</f>
        <v>122498</v>
      </c>
      <c r="M366" s="2">
        <f>VLOOKUP(F2284,Sheet2!$A$2:$B$500,2,FALSE)</f>
        <v>837.48</v>
      </c>
    </row>
    <row r="367" ht="15.75" customHeight="1" spans="1:13">
      <c r="A367" s="5">
        <v>9623</v>
      </c>
      <c r="B367" s="5" t="s">
        <v>327</v>
      </c>
      <c r="C367" s="5" t="s">
        <v>277</v>
      </c>
      <c r="D367" s="5">
        <v>2</v>
      </c>
      <c r="E367" s="2">
        <f>IF(B2285=B2284,E2284+1,1)</f>
        <v>6</v>
      </c>
      <c r="F367" s="5" t="s">
        <v>278</v>
      </c>
      <c r="G367" s="5">
        <v>4</v>
      </c>
      <c r="H367" s="5" t="s">
        <v>279</v>
      </c>
      <c r="I367" s="5">
        <v>3</v>
      </c>
      <c r="J367" s="5">
        <v>122498</v>
      </c>
      <c r="K367" s="5">
        <v>122498</v>
      </c>
      <c r="L367" s="5">
        <f>IF(AND(H2285=C2286,B2285=B2286),J2286,"")</f>
        <v>122798</v>
      </c>
      <c r="M367" s="2">
        <f>VLOOKUP(F2285,Sheet2!$A$2:$B$500,2,FALSE)</f>
        <v>841.48</v>
      </c>
    </row>
    <row r="368" ht="15.75" customHeight="1" spans="1:13">
      <c r="A368" s="5">
        <v>9624</v>
      </c>
      <c r="B368" s="5" t="s">
        <v>327</v>
      </c>
      <c r="C368" s="5" t="s">
        <v>279</v>
      </c>
      <c r="D368" s="5">
        <v>3</v>
      </c>
      <c r="E368" s="2">
        <f>IF(B2286=B2285,E2285+1,1)</f>
        <v>7</v>
      </c>
      <c r="F368" s="5" t="s">
        <v>280</v>
      </c>
      <c r="G368" s="5">
        <v>2</v>
      </c>
      <c r="H368" s="5" t="s">
        <v>281</v>
      </c>
      <c r="I368" s="5">
        <v>1</v>
      </c>
      <c r="J368" s="5">
        <v>122798</v>
      </c>
      <c r="K368" s="5">
        <v>122798</v>
      </c>
      <c r="L368" s="5">
        <f>IF(AND(H2286=C2287,B2286=B2287),J2287,"")</f>
        <v>123098</v>
      </c>
      <c r="M368" s="2">
        <f>VLOOKUP(F2286,Sheet2!$A$2:$B$500,2,FALSE)</f>
        <v>847.88</v>
      </c>
    </row>
    <row r="369" ht="15.75" customHeight="1" spans="1:13">
      <c r="A369" s="5">
        <v>9625</v>
      </c>
      <c r="B369" s="5" t="s">
        <v>327</v>
      </c>
      <c r="C369" s="5" t="s">
        <v>281</v>
      </c>
      <c r="D369" s="5">
        <v>1</v>
      </c>
      <c r="E369" s="2">
        <f>IF(B2287=B2286,E2286+1,1)</f>
        <v>8</v>
      </c>
      <c r="F369" s="5" t="s">
        <v>282</v>
      </c>
      <c r="G369" s="5">
        <v>1</v>
      </c>
      <c r="H369" s="5" t="s">
        <v>283</v>
      </c>
      <c r="I369" s="5">
        <v>1</v>
      </c>
      <c r="J369" s="5">
        <v>123098</v>
      </c>
      <c r="K369" s="5">
        <v>123098</v>
      </c>
      <c r="L369" s="5">
        <f>IF(AND(H2287=C2288,B2287=B2288),J2288,"")</f>
        <v>123242</v>
      </c>
      <c r="M369" s="2">
        <f>VLOOKUP(F2287,Sheet2!$A$2:$B$500,2,FALSE)</f>
        <v>852.78</v>
      </c>
    </row>
    <row r="370" ht="15.75" customHeight="1" spans="1:13">
      <c r="A370" s="5">
        <v>9626</v>
      </c>
      <c r="B370" s="5" t="s">
        <v>327</v>
      </c>
      <c r="C370" s="5" t="s">
        <v>283</v>
      </c>
      <c r="D370" s="5">
        <v>1</v>
      </c>
      <c r="E370" s="2">
        <f>IF(B2288=B2287,E2287+1,1)</f>
        <v>9</v>
      </c>
      <c r="F370" s="5" t="s">
        <v>284</v>
      </c>
      <c r="G370" s="5">
        <v>1</v>
      </c>
      <c r="H370" s="5" t="s">
        <v>285</v>
      </c>
      <c r="I370" s="5">
        <v>1</v>
      </c>
      <c r="J370" s="5">
        <v>123242</v>
      </c>
      <c r="K370" s="5">
        <v>123242</v>
      </c>
      <c r="L370" s="5">
        <f>IF(AND(H2288=C2289,B2288=B2289),J2289,"")</f>
        <v>123394</v>
      </c>
      <c r="M370" s="2">
        <f>VLOOKUP(F2288,Sheet2!$A$2:$B$500,2,FALSE)</f>
        <v>855.28</v>
      </c>
    </row>
    <row r="371" ht="15.75" customHeight="1" spans="1:13">
      <c r="A371" s="5">
        <v>9627</v>
      </c>
      <c r="B371" s="5" t="s">
        <v>327</v>
      </c>
      <c r="C371" s="5" t="s">
        <v>285</v>
      </c>
      <c r="D371" s="5">
        <v>1</v>
      </c>
      <c r="E371" s="2">
        <f>IF(B2289=B2288,E2288+1,1)</f>
        <v>10</v>
      </c>
      <c r="F371" s="5" t="s">
        <v>286</v>
      </c>
      <c r="G371" s="5">
        <v>5</v>
      </c>
      <c r="H371" s="5" t="s">
        <v>287</v>
      </c>
      <c r="I371" s="5">
        <v>3</v>
      </c>
      <c r="J371" s="5">
        <v>123394</v>
      </c>
      <c r="K371" s="5">
        <v>123394</v>
      </c>
      <c r="L371" s="5">
        <f>IF(AND(H2289=C2290,B2289=B2290),J2290,"")</f>
        <v>123612</v>
      </c>
      <c r="M371" s="2">
        <f>VLOOKUP(F2289,Sheet2!$A$2:$B$500,2,FALSE)</f>
        <v>858.78</v>
      </c>
    </row>
    <row r="372" ht="15.75" customHeight="1" spans="1:13">
      <c r="A372" s="5">
        <v>9628</v>
      </c>
      <c r="B372" s="5" t="s">
        <v>327</v>
      </c>
      <c r="C372" s="5" t="s">
        <v>287</v>
      </c>
      <c r="D372" s="5">
        <v>3</v>
      </c>
      <c r="E372" s="2">
        <f>IF(B2290=B2289,E2289+1,1)</f>
        <v>11</v>
      </c>
      <c r="F372" s="5" t="s">
        <v>288</v>
      </c>
      <c r="G372" s="5">
        <v>3</v>
      </c>
      <c r="H372" s="5" t="s">
        <v>289</v>
      </c>
      <c r="I372" s="5">
        <v>3</v>
      </c>
      <c r="J372" s="5">
        <v>123612</v>
      </c>
      <c r="K372" s="5">
        <v>123612</v>
      </c>
      <c r="L372" s="5">
        <f>IF(AND(H2290=C2291,B2290=B2291),J2291,"")</f>
        <v>123842</v>
      </c>
      <c r="M372" s="2">
        <f>VLOOKUP(F2290,Sheet2!$A$2:$B$500,2,FALSE)</f>
        <v>862.82</v>
      </c>
    </row>
    <row r="373" ht="15.75" customHeight="1" spans="1:13">
      <c r="A373" s="5">
        <v>9629</v>
      </c>
      <c r="B373" s="5" t="s">
        <v>327</v>
      </c>
      <c r="C373" s="5" t="s">
        <v>289</v>
      </c>
      <c r="D373" s="5">
        <v>3</v>
      </c>
      <c r="E373" s="2">
        <f>IF(B2291=B2290,E2290+1,1)</f>
        <v>12</v>
      </c>
      <c r="F373" s="5" t="s">
        <v>290</v>
      </c>
      <c r="G373" s="5">
        <v>2</v>
      </c>
      <c r="H373" s="5" t="s">
        <v>291</v>
      </c>
      <c r="I373" s="5">
        <v>3</v>
      </c>
      <c r="J373" s="5">
        <v>123842</v>
      </c>
      <c r="K373" s="5">
        <v>123842</v>
      </c>
      <c r="L373" s="5">
        <f>IF(AND(H2291=C2292,B2291=B2292),J2292,"")</f>
        <v>124120</v>
      </c>
      <c r="M373" s="2">
        <f>VLOOKUP(F2291,Sheet2!$A$2:$B$500,2,FALSE)</f>
        <v>868.03</v>
      </c>
    </row>
    <row r="374" ht="15.75" customHeight="1" spans="1:13">
      <c r="A374" s="5">
        <v>9630</v>
      </c>
      <c r="B374" s="5" t="s">
        <v>327</v>
      </c>
      <c r="C374" s="5" t="s">
        <v>291</v>
      </c>
      <c r="D374" s="5">
        <v>3</v>
      </c>
      <c r="E374" s="2">
        <f>IF(B2292=B2291,E2291+1,1)</f>
        <v>13</v>
      </c>
      <c r="F374" s="5" t="s">
        <v>292</v>
      </c>
      <c r="G374" s="5">
        <v>3</v>
      </c>
      <c r="H374" s="5" t="s">
        <v>293</v>
      </c>
      <c r="I374" s="5">
        <v>3</v>
      </c>
      <c r="J374" s="5">
        <v>124120</v>
      </c>
      <c r="K374" s="5">
        <v>124120</v>
      </c>
      <c r="L374" s="5">
        <f>IF(AND(H2292=C2293,B2292=B2293),J2293,"")</f>
        <v>124246</v>
      </c>
      <c r="M374" s="2">
        <f>VLOOKUP(F2292,Sheet2!$A$2:$B$500,2,FALSE)</f>
        <v>872.03</v>
      </c>
    </row>
    <row r="375" ht="15.75" customHeight="1" spans="1:13">
      <c r="A375" s="5">
        <v>9631</v>
      </c>
      <c r="B375" s="5" t="s">
        <v>327</v>
      </c>
      <c r="C375" s="5" t="s">
        <v>293</v>
      </c>
      <c r="D375" s="5">
        <v>3</v>
      </c>
      <c r="E375" s="2">
        <f>IF(B2293=B2292,E2292+1,1)</f>
        <v>14</v>
      </c>
      <c r="F375" s="5" t="s">
        <v>294</v>
      </c>
      <c r="G375" s="5">
        <v>1</v>
      </c>
      <c r="H375" s="5" t="s">
        <v>295</v>
      </c>
      <c r="I375" s="5">
        <v>3</v>
      </c>
      <c r="J375" s="5">
        <v>124246</v>
      </c>
      <c r="K375" s="5">
        <v>124546</v>
      </c>
      <c r="L375" s="5">
        <f>IF(AND(H2293=C2294,B2293=B2294),J2294,"")</f>
        <v>124966</v>
      </c>
      <c r="M375" s="2">
        <f>VLOOKUP(F2293,Sheet2!$A$2:$B$500,2,FALSE)</f>
        <v>872.83</v>
      </c>
    </row>
    <row r="376" ht="15.75" customHeight="1" spans="1:13">
      <c r="A376" s="5">
        <v>9632</v>
      </c>
      <c r="B376" s="5" t="s">
        <v>327</v>
      </c>
      <c r="C376" s="5" t="s">
        <v>295</v>
      </c>
      <c r="D376" s="5">
        <v>3</v>
      </c>
      <c r="E376" s="2">
        <f>IF(B2294=B2293,E2293+1,1)</f>
        <v>15</v>
      </c>
      <c r="F376" s="5" t="s">
        <v>296</v>
      </c>
      <c r="G376" s="5">
        <v>2</v>
      </c>
      <c r="H376" s="5" t="s">
        <v>297</v>
      </c>
      <c r="I376" s="5">
        <v>1</v>
      </c>
      <c r="J376" s="5">
        <v>124966</v>
      </c>
      <c r="K376" s="5">
        <v>124966</v>
      </c>
      <c r="L376" s="5">
        <f>IF(AND(H2294=C2295,B2294=B2295),J2295,"")</f>
        <v>125278</v>
      </c>
      <c r="M376" s="2">
        <f>VLOOKUP(F2294,Sheet2!$A$2:$B$500,2,FALSE)</f>
        <v>881.23</v>
      </c>
    </row>
    <row r="377" ht="15.75" customHeight="1" spans="1:13">
      <c r="A377" s="5">
        <v>9633</v>
      </c>
      <c r="B377" s="5" t="s">
        <v>327</v>
      </c>
      <c r="C377" s="5" t="s">
        <v>297</v>
      </c>
      <c r="D377" s="5">
        <v>1</v>
      </c>
      <c r="E377" s="2">
        <f>IF(B2295=B2294,E2294+1,1)</f>
        <v>16</v>
      </c>
      <c r="F377" s="5" t="s">
        <v>298</v>
      </c>
      <c r="G377" s="5">
        <v>1</v>
      </c>
      <c r="H377" s="5" t="s">
        <v>299</v>
      </c>
      <c r="I377" s="5">
        <v>1</v>
      </c>
      <c r="J377" s="5">
        <v>125278</v>
      </c>
      <c r="K377" s="5">
        <v>125278</v>
      </c>
      <c r="L377" s="5">
        <f>IF(AND(H2295=C2296,B2295=B2296),J2296,"")</f>
        <v>125584</v>
      </c>
      <c r="M377" s="2">
        <f>VLOOKUP(F2295,Sheet2!$A$2:$B$500,2,FALSE)</f>
        <v>888.73</v>
      </c>
    </row>
    <row r="378" ht="15.75" customHeight="1" spans="1:13">
      <c r="A378" s="5">
        <v>9634</v>
      </c>
      <c r="B378" s="5" t="s">
        <v>327</v>
      </c>
      <c r="C378" s="5" t="s">
        <v>299</v>
      </c>
      <c r="D378" s="5">
        <v>1</v>
      </c>
      <c r="E378" s="2">
        <f>IF(B2296=B2295,E2295+1,1)</f>
        <v>17</v>
      </c>
      <c r="F378" s="5" t="s">
        <v>300</v>
      </c>
      <c r="G378" s="5">
        <v>1</v>
      </c>
      <c r="H378" s="5" t="s">
        <v>301</v>
      </c>
      <c r="I378" s="5">
        <v>1</v>
      </c>
      <c r="J378" s="5">
        <v>125584</v>
      </c>
      <c r="K378" s="5">
        <v>125584</v>
      </c>
      <c r="L378" s="5">
        <f>IF(AND(H2296=C2297,B2296=B2297),J2297,"")</f>
        <v>126004</v>
      </c>
      <c r="M378" s="2">
        <f>VLOOKUP(F2296,Sheet2!$A$2:$B$500,2,FALSE)</f>
        <v>895.73</v>
      </c>
    </row>
    <row r="379" ht="15.75" customHeight="1" spans="1:13">
      <c r="A379" s="5">
        <v>9635</v>
      </c>
      <c r="B379" s="5" t="s">
        <v>327</v>
      </c>
      <c r="C379" s="5" t="s">
        <v>301</v>
      </c>
      <c r="D379" s="5">
        <v>1</v>
      </c>
      <c r="E379" s="2">
        <f>IF(B2297=B2296,E2296+1,1)</f>
        <v>18</v>
      </c>
      <c r="F379" s="5" t="s">
        <v>302</v>
      </c>
      <c r="G379" s="5">
        <v>3</v>
      </c>
      <c r="H379" s="5" t="s">
        <v>303</v>
      </c>
      <c r="I379" s="5">
        <v>3</v>
      </c>
      <c r="J379" s="5">
        <v>126004</v>
      </c>
      <c r="K379" s="5">
        <v>126124</v>
      </c>
      <c r="L379" s="5">
        <f>IF(AND(H2297=C2298,B2297=B2298),J2298,"")</f>
        <v>126584</v>
      </c>
      <c r="M379" s="2">
        <f>VLOOKUP(F2297,Sheet2!$A$2:$B$500,2,FALSE)</f>
        <v>903.76</v>
      </c>
    </row>
    <row r="380" ht="15.75" customHeight="1" spans="1:13">
      <c r="A380" s="5">
        <v>9636</v>
      </c>
      <c r="B380" s="5" t="s">
        <v>327</v>
      </c>
      <c r="C380" s="5" t="s">
        <v>303</v>
      </c>
      <c r="D380" s="5">
        <v>3</v>
      </c>
      <c r="E380" s="2">
        <f>IF(B2298=B2297,E2297+1,1)</f>
        <v>19</v>
      </c>
      <c r="F380" s="5" t="s">
        <v>304</v>
      </c>
      <c r="G380" s="5">
        <v>4</v>
      </c>
      <c r="H380" s="5" t="s">
        <v>305</v>
      </c>
      <c r="I380" s="5">
        <v>3</v>
      </c>
      <c r="J380" s="5">
        <v>126584</v>
      </c>
      <c r="K380" s="5">
        <v>126584</v>
      </c>
      <c r="L380" s="5">
        <f>IF(AND(H2298=C2299,B2298=B2299),J2299,"")</f>
        <v>126960</v>
      </c>
      <c r="M380" s="2">
        <f>VLOOKUP(F2298,Sheet2!$A$2:$B$500,2,FALSE)</f>
        <v>914.24</v>
      </c>
    </row>
    <row r="381" ht="15.75" customHeight="1" spans="1:13">
      <c r="A381" s="5">
        <v>9637</v>
      </c>
      <c r="B381" s="5" t="s">
        <v>327</v>
      </c>
      <c r="C381" s="5" t="s">
        <v>305</v>
      </c>
      <c r="D381" s="5">
        <v>3</v>
      </c>
      <c r="E381" s="2">
        <f>IF(B2299=B2298,E2298+1,1)</f>
        <v>20</v>
      </c>
      <c r="F381" s="5" t="s">
        <v>306</v>
      </c>
      <c r="G381" s="5">
        <v>5</v>
      </c>
      <c r="H381" s="5" t="s">
        <v>307</v>
      </c>
      <c r="I381" s="5">
        <v>3</v>
      </c>
      <c r="J381" s="5">
        <v>126960</v>
      </c>
      <c r="K381" s="5">
        <v>126960</v>
      </c>
      <c r="L381" s="5">
        <f>IF(AND(H2299=C2300,B2299=B2300),J2300,"")</f>
        <v>127320</v>
      </c>
      <c r="M381" s="2">
        <f>VLOOKUP(F2299,Sheet2!$A$2:$B$500,2,FALSE)</f>
        <v>922.17</v>
      </c>
    </row>
    <row r="382" ht="15.75" customHeight="1" spans="1:13">
      <c r="A382" s="5">
        <v>9638</v>
      </c>
      <c r="B382" s="5" t="s">
        <v>327</v>
      </c>
      <c r="C382" s="5" t="s">
        <v>307</v>
      </c>
      <c r="D382" s="5">
        <v>3</v>
      </c>
      <c r="E382" s="2">
        <f>IF(B2300=B2299,E2299+1,1)</f>
        <v>21</v>
      </c>
      <c r="F382" s="5" t="s">
        <v>308</v>
      </c>
      <c r="G382" s="5">
        <v>5</v>
      </c>
      <c r="H382" s="5" t="s">
        <v>309</v>
      </c>
      <c r="I382" s="5">
        <v>3</v>
      </c>
      <c r="J382" s="5">
        <v>127320</v>
      </c>
      <c r="K382" s="5">
        <v>127320</v>
      </c>
      <c r="L382" s="5">
        <f>IF(AND(H2300=C2301,B2300=B2301),J2301,"")</f>
        <v>127680</v>
      </c>
      <c r="M382" s="2">
        <f>VLOOKUP(F2300,Sheet2!$A$2:$B$500,2,FALSE)</f>
        <v>928.67</v>
      </c>
    </row>
    <row r="383" ht="15.75" customHeight="1" spans="1:13">
      <c r="A383" s="5">
        <v>9639</v>
      </c>
      <c r="B383" s="5" t="s">
        <v>327</v>
      </c>
      <c r="C383" s="5" t="s">
        <v>309</v>
      </c>
      <c r="D383" s="5">
        <v>3</v>
      </c>
      <c r="E383" s="2">
        <f>IF(B2301=B2300,E2300+1,1)</f>
        <v>22</v>
      </c>
      <c r="F383" s="5" t="s">
        <v>310</v>
      </c>
      <c r="G383" s="5">
        <v>5</v>
      </c>
      <c r="H383" s="5" t="s">
        <v>311</v>
      </c>
      <c r="I383" s="5">
        <v>3</v>
      </c>
      <c r="J383" s="5">
        <v>127680</v>
      </c>
      <c r="K383" s="5">
        <v>127800</v>
      </c>
      <c r="L383" s="5">
        <f>IF(AND(H2301=C2302,B2301=B2302),J2302,"")</f>
        <v>128176</v>
      </c>
      <c r="M383" s="2">
        <f>VLOOKUP(F2301,Sheet2!$A$2:$B$500,2,FALSE)</f>
        <v>934.97</v>
      </c>
    </row>
    <row r="384" ht="15.75" customHeight="1" spans="1:13">
      <c r="A384" s="5">
        <v>9640</v>
      </c>
      <c r="B384" s="5" t="s">
        <v>327</v>
      </c>
      <c r="C384" s="5" t="s">
        <v>311</v>
      </c>
      <c r="D384" s="5">
        <v>3</v>
      </c>
      <c r="E384" s="2">
        <f>IF(B2302=B2301,E2301+1,1)</f>
        <v>23</v>
      </c>
      <c r="F384" s="5" t="s">
        <v>312</v>
      </c>
      <c r="G384" s="5">
        <v>5</v>
      </c>
      <c r="H384" s="5" t="s">
        <v>313</v>
      </c>
      <c r="I384" s="5">
        <v>3</v>
      </c>
      <c r="J384" s="5">
        <v>128176</v>
      </c>
      <c r="K384" s="5">
        <v>128176</v>
      </c>
      <c r="L384" s="5">
        <f>IF(AND(H2302=C2303,B2302=B2303),J2303,"")</f>
        <v>128776</v>
      </c>
      <c r="M384" s="2">
        <f>VLOOKUP(F2302,Sheet2!$A$2:$B$500,2,FALSE)</f>
        <v>942.97</v>
      </c>
    </row>
    <row r="385" ht="15.75" customHeight="1" spans="1:13">
      <c r="A385" s="5">
        <v>9641</v>
      </c>
      <c r="B385" s="5" t="s">
        <v>327</v>
      </c>
      <c r="C385" s="5" t="s">
        <v>313</v>
      </c>
      <c r="D385" s="5">
        <v>3</v>
      </c>
      <c r="E385" s="2">
        <f>IF(B2303=B2302,E2302+1,1)</f>
        <v>24</v>
      </c>
      <c r="F385" s="5" t="s">
        <v>314</v>
      </c>
      <c r="G385" s="5">
        <v>3</v>
      </c>
      <c r="H385" s="5" t="s">
        <v>315</v>
      </c>
      <c r="I385" s="5">
        <v>3</v>
      </c>
      <c r="J385" s="5">
        <v>128776</v>
      </c>
      <c r="K385" s="5">
        <v>128776</v>
      </c>
      <c r="L385" s="5">
        <f>IF(AND(H2303=C2304,B2303=B2304),J2304,"")</f>
        <v>129148</v>
      </c>
      <c r="M385" s="2">
        <f>VLOOKUP(F2303,Sheet2!$A$2:$B$500,2,FALSE)</f>
        <v>951.77</v>
      </c>
    </row>
    <row r="386" ht="15.75" customHeight="1" spans="1:13">
      <c r="A386" s="5">
        <v>9642</v>
      </c>
      <c r="B386" s="5" t="s">
        <v>327</v>
      </c>
      <c r="C386" s="5" t="s">
        <v>315</v>
      </c>
      <c r="D386" s="5">
        <v>3</v>
      </c>
      <c r="E386" s="2">
        <f>IF(B2304=B2303,E2303+1,1)</f>
        <v>25</v>
      </c>
      <c r="F386" s="5" t="s">
        <v>316</v>
      </c>
      <c r="G386" s="5">
        <v>2</v>
      </c>
      <c r="H386" s="5" t="s">
        <v>317</v>
      </c>
      <c r="I386" s="5">
        <v>2</v>
      </c>
      <c r="J386" s="5">
        <v>129148</v>
      </c>
      <c r="K386" s="5">
        <v>129148</v>
      </c>
      <c r="L386" s="5">
        <f>IF(AND(H2304=C2305,B2304=B2305),J2305,"")</f>
        <v>129856</v>
      </c>
      <c r="M386" s="2">
        <f>VLOOKUP(F2304,Sheet2!$A$2:$B$500,2,FALSE)</f>
        <v>959.41</v>
      </c>
    </row>
    <row r="387" ht="15.75" customHeight="1" spans="1:13">
      <c r="A387" s="5">
        <v>9643</v>
      </c>
      <c r="B387" s="5" t="s">
        <v>327</v>
      </c>
      <c r="C387" s="5" t="s">
        <v>317</v>
      </c>
      <c r="D387" s="5">
        <v>2</v>
      </c>
      <c r="E387" s="2">
        <f>IF(B2305=B2304,E2304+1,1)</f>
        <v>26</v>
      </c>
      <c r="F387" s="5" t="s">
        <v>318</v>
      </c>
      <c r="G387" s="5">
        <v>4</v>
      </c>
      <c r="H387" s="5" t="s">
        <v>319</v>
      </c>
      <c r="I387" s="5">
        <v>2</v>
      </c>
      <c r="J387" s="5">
        <v>129856</v>
      </c>
      <c r="K387" s="5">
        <v>129856</v>
      </c>
      <c r="L387" s="5">
        <f>IF(AND(H2305=C2306,B2305=B2306),J2306,"")</f>
        <v>130276</v>
      </c>
      <c r="M387" s="2">
        <f>VLOOKUP(F2305,Sheet2!$A$2:$B$500,2,FALSE)</f>
        <v>970.77</v>
      </c>
    </row>
    <row r="388" ht="15.75" customHeight="1" spans="1:13">
      <c r="A388" s="5">
        <v>9644</v>
      </c>
      <c r="B388" s="5" t="s">
        <v>327</v>
      </c>
      <c r="C388" s="5" t="s">
        <v>319</v>
      </c>
      <c r="D388" s="5">
        <v>2</v>
      </c>
      <c r="E388" s="2">
        <f>IF(B2306=B2305,E2305+1,1)</f>
        <v>27</v>
      </c>
      <c r="F388" s="5" t="s">
        <v>320</v>
      </c>
      <c r="G388" s="5">
        <v>3</v>
      </c>
      <c r="H388" s="5" t="s">
        <v>321</v>
      </c>
      <c r="I388" s="5">
        <v>3</v>
      </c>
      <c r="J388" s="5">
        <v>130276</v>
      </c>
      <c r="K388" s="5">
        <v>130276</v>
      </c>
      <c r="L388" s="5">
        <f>IF(AND(H2306=C2307,B2306=B2307),J2307,"")</f>
        <v>130646</v>
      </c>
      <c r="M388" s="2">
        <f>VLOOKUP(F2306,Sheet2!$A$2:$B$500,2,FALSE)</f>
        <v>978.25</v>
      </c>
    </row>
    <row r="389" ht="15.75" customHeight="1" spans="1:13">
      <c r="A389" s="5">
        <v>9645</v>
      </c>
      <c r="B389" s="5" t="s">
        <v>327</v>
      </c>
      <c r="C389" s="5" t="s">
        <v>321</v>
      </c>
      <c r="D389" s="5">
        <v>3</v>
      </c>
      <c r="E389" s="2">
        <f>IF(B2307=B2306,E2306+1,1)</f>
        <v>28</v>
      </c>
      <c r="F389" s="5" t="s">
        <v>322</v>
      </c>
      <c r="G389" s="5">
        <v>5</v>
      </c>
      <c r="H389" s="5" t="s">
        <v>323</v>
      </c>
      <c r="I389" s="5">
        <v>3</v>
      </c>
      <c r="J389" s="5">
        <v>130646</v>
      </c>
      <c r="K389" s="5">
        <v>130646</v>
      </c>
      <c r="L389" s="5">
        <f>IF(AND(H2307=C2308,B2307=B2308),J2308,"")</f>
        <v>131106</v>
      </c>
      <c r="M389" s="2">
        <f>VLOOKUP(F2307,Sheet2!$A$2:$B$500,2,FALSE)</f>
        <v>985.65</v>
      </c>
    </row>
    <row r="390" ht="15.75" customHeight="1" spans="1:13">
      <c r="A390" s="5">
        <v>9646</v>
      </c>
      <c r="B390" s="5" t="s">
        <v>327</v>
      </c>
      <c r="C390" s="5" t="s">
        <v>323</v>
      </c>
      <c r="D390" s="5">
        <v>3</v>
      </c>
      <c r="E390" s="2">
        <f>IF(B2308=B2307,E2307+1,1)</f>
        <v>29</v>
      </c>
      <c r="F390" s="5" t="s">
        <v>324</v>
      </c>
      <c r="G390" s="5">
        <v>2</v>
      </c>
      <c r="H390" s="5" t="s">
        <v>325</v>
      </c>
      <c r="I390" s="5">
        <v>2</v>
      </c>
      <c r="J390" s="5">
        <v>131106</v>
      </c>
      <c r="K390" s="5">
        <v>131106</v>
      </c>
      <c r="L390" s="5">
        <f>IF(AND(H2308=C2309,B2308=B2309),J2309,"")</f>
        <v>131886</v>
      </c>
      <c r="M390" s="2">
        <f>VLOOKUP(F2308,Sheet2!$A$2:$B$500,2,FALSE)</f>
        <v>996.25</v>
      </c>
    </row>
    <row r="391" ht="15.75" customHeight="1" spans="1:13">
      <c r="A391" s="5">
        <v>9647</v>
      </c>
      <c r="B391" s="5" t="s">
        <v>327</v>
      </c>
      <c r="C391" s="5" t="s">
        <v>325</v>
      </c>
      <c r="D391" s="5">
        <v>2</v>
      </c>
      <c r="E391" s="2">
        <f>IF(B2309=B2308,E2308+1,1)</f>
        <v>30</v>
      </c>
      <c r="F391" s="5" t="s">
        <v>326</v>
      </c>
      <c r="G391" s="5">
        <v>2</v>
      </c>
      <c r="H391" s="5"/>
      <c r="I391" s="5"/>
      <c r="J391" s="5">
        <v>131886</v>
      </c>
      <c r="K391" s="5">
        <v>131886</v>
      </c>
      <c r="L391" s="5" t="str">
        <f>IF(AND(H2309=C2310,B2309=B2310),J2310,"")</f>
        <v/>
      </c>
      <c r="M391" s="2">
        <f>VLOOKUP(F2309,Sheet2!$A$2:$B$500,2,FALSE)</f>
        <v>1008.05</v>
      </c>
    </row>
    <row r="392" ht="15.75" customHeight="1" spans="1:13">
      <c r="A392" s="5">
        <v>4284</v>
      </c>
      <c r="B392" s="5" t="s">
        <v>328</v>
      </c>
      <c r="C392" s="5" t="s">
        <v>14</v>
      </c>
      <c r="D392" s="5" t="s">
        <v>14</v>
      </c>
      <c r="E392" s="2">
        <f>IF(B2310=B2309,E2309+1,1)</f>
        <v>1</v>
      </c>
      <c r="F392" s="5" t="s">
        <v>326</v>
      </c>
      <c r="G392" s="5">
        <v>1</v>
      </c>
      <c r="H392" s="5" t="s">
        <v>329</v>
      </c>
      <c r="I392" s="5">
        <v>1</v>
      </c>
      <c r="J392" s="5">
        <v>53026</v>
      </c>
      <c r="K392" s="5">
        <v>53026</v>
      </c>
      <c r="L392" s="5">
        <f>IF(AND(H2310=C2311,B2310=B2311),J2311,"")</f>
        <v>53498</v>
      </c>
      <c r="M392" s="2">
        <f>VLOOKUP(F2310,Sheet2!$A$2:$B$500,2,FALSE)</f>
        <v>1008.05</v>
      </c>
    </row>
    <row r="393" ht="15.75" customHeight="1" spans="1:13">
      <c r="A393" s="5">
        <v>4285</v>
      </c>
      <c r="B393" s="5" t="s">
        <v>328</v>
      </c>
      <c r="C393" s="5" t="s">
        <v>329</v>
      </c>
      <c r="D393" s="5">
        <v>1</v>
      </c>
      <c r="E393" s="2">
        <f>IF(B2311=B2310,E2310+1,1)</f>
        <v>2</v>
      </c>
      <c r="F393" s="5" t="s">
        <v>324</v>
      </c>
      <c r="G393" s="5">
        <v>1</v>
      </c>
      <c r="H393" s="5" t="s">
        <v>330</v>
      </c>
      <c r="I393" s="5">
        <v>1</v>
      </c>
      <c r="J393" s="5">
        <v>53498</v>
      </c>
      <c r="K393" s="5">
        <v>53498</v>
      </c>
      <c r="L393" s="5">
        <f>IF(AND(H2311=C2312,B2311=B2312),J2312,"")</f>
        <v>53958</v>
      </c>
      <c r="M393" s="2">
        <f>VLOOKUP(F2311,Sheet2!$A$2:$B$500,2,FALSE)</f>
        <v>996.25</v>
      </c>
    </row>
    <row r="394" ht="15.75" customHeight="1" spans="1:13">
      <c r="A394" s="5">
        <v>4286</v>
      </c>
      <c r="B394" s="5" t="s">
        <v>328</v>
      </c>
      <c r="C394" s="5" t="s">
        <v>330</v>
      </c>
      <c r="D394" s="5">
        <v>1</v>
      </c>
      <c r="E394" s="2">
        <f>IF(B2312=B2311,E2311+1,1)</f>
        <v>3</v>
      </c>
      <c r="F394" s="5" t="s">
        <v>322</v>
      </c>
      <c r="G394" s="5">
        <v>1</v>
      </c>
      <c r="H394" s="5" t="s">
        <v>331</v>
      </c>
      <c r="I394" s="5">
        <v>1</v>
      </c>
      <c r="J394" s="5">
        <v>53958</v>
      </c>
      <c r="K394" s="5">
        <v>53958</v>
      </c>
      <c r="L394" s="5">
        <f>IF(AND(H2312=C2313,B2312=B2313),J2313,"")</f>
        <v>54318</v>
      </c>
      <c r="M394" s="2">
        <f>VLOOKUP(F2312,Sheet2!$A$2:$B$500,2,FALSE)</f>
        <v>985.65</v>
      </c>
    </row>
    <row r="395" ht="15.75" customHeight="1" spans="1:13">
      <c r="A395" s="5">
        <v>4287</v>
      </c>
      <c r="B395" s="5" t="s">
        <v>328</v>
      </c>
      <c r="C395" s="5" t="s">
        <v>331</v>
      </c>
      <c r="D395" s="5">
        <v>1</v>
      </c>
      <c r="E395" s="2">
        <f>IF(B2313=B2312,E2312+1,1)</f>
        <v>4</v>
      </c>
      <c r="F395" s="5" t="s">
        <v>320</v>
      </c>
      <c r="G395" s="5">
        <v>1</v>
      </c>
      <c r="H395" s="5" t="s">
        <v>332</v>
      </c>
      <c r="I395" s="5">
        <v>1</v>
      </c>
      <c r="J395" s="5">
        <v>54318</v>
      </c>
      <c r="K395" s="5">
        <v>54318</v>
      </c>
      <c r="L395" s="5">
        <f>IF(AND(H2313=C2314,B2313=B2314),J2314,"")</f>
        <v>54628</v>
      </c>
      <c r="M395" s="2">
        <f>VLOOKUP(F2313,Sheet2!$A$2:$B$500,2,FALSE)</f>
        <v>978.25</v>
      </c>
    </row>
    <row r="396" ht="15.75" customHeight="1" spans="1:13">
      <c r="A396" s="5">
        <v>4288</v>
      </c>
      <c r="B396" s="5" t="s">
        <v>328</v>
      </c>
      <c r="C396" s="5" t="s">
        <v>332</v>
      </c>
      <c r="D396" s="5">
        <v>1</v>
      </c>
      <c r="E396" s="2">
        <f>IF(B2314=B2313,E2313+1,1)</f>
        <v>5</v>
      </c>
      <c r="F396" s="5" t="s">
        <v>318</v>
      </c>
      <c r="G396" s="5">
        <v>1</v>
      </c>
      <c r="H396" s="5" t="s">
        <v>333</v>
      </c>
      <c r="I396" s="5">
        <v>1</v>
      </c>
      <c r="J396" s="5">
        <v>54628</v>
      </c>
      <c r="K396" s="5">
        <v>54628</v>
      </c>
      <c r="L396" s="5">
        <f>IF(AND(H2314=C2315,B2314=B2315),J2315,"")</f>
        <v>55396</v>
      </c>
      <c r="M396" s="2">
        <f>VLOOKUP(F2314,Sheet2!$A$2:$B$500,2,FALSE)</f>
        <v>970.77</v>
      </c>
    </row>
    <row r="397" ht="15.75" customHeight="1" spans="1:13">
      <c r="A397" s="5">
        <v>4289</v>
      </c>
      <c r="B397" s="5" t="s">
        <v>328</v>
      </c>
      <c r="C397" s="5" t="s">
        <v>333</v>
      </c>
      <c r="D397" s="5">
        <v>1</v>
      </c>
      <c r="E397" s="2">
        <f>IF(B2315=B2314,E2314+1,1)</f>
        <v>6</v>
      </c>
      <c r="F397" s="5" t="s">
        <v>316</v>
      </c>
      <c r="G397" s="5">
        <v>1</v>
      </c>
      <c r="H397" s="5" t="s">
        <v>334</v>
      </c>
      <c r="I397" s="5">
        <v>1</v>
      </c>
      <c r="J397" s="5">
        <v>55396</v>
      </c>
      <c r="K397" s="5">
        <v>55396</v>
      </c>
      <c r="L397" s="5">
        <f>IF(AND(H2315=C2316,B2315=B2316),J2316,"")</f>
        <v>55756</v>
      </c>
      <c r="M397" s="2">
        <f>VLOOKUP(F2315,Sheet2!$A$2:$B$500,2,FALSE)</f>
        <v>959.41</v>
      </c>
    </row>
    <row r="398" ht="15.75" customHeight="1" spans="1:13">
      <c r="A398" s="5">
        <v>4290</v>
      </c>
      <c r="B398" s="5" t="s">
        <v>328</v>
      </c>
      <c r="C398" s="5" t="s">
        <v>334</v>
      </c>
      <c r="D398" s="5">
        <v>1</v>
      </c>
      <c r="E398" s="2">
        <f>IF(B2316=B2315,E2315+1,1)</f>
        <v>7</v>
      </c>
      <c r="F398" s="5" t="s">
        <v>314</v>
      </c>
      <c r="G398" s="5">
        <v>1</v>
      </c>
      <c r="H398" s="5" t="s">
        <v>335</v>
      </c>
      <c r="I398" s="5">
        <v>1</v>
      </c>
      <c r="J398" s="5">
        <v>55756</v>
      </c>
      <c r="K398" s="5">
        <v>55756</v>
      </c>
      <c r="L398" s="5">
        <f>IF(AND(H2316=C2317,B2316=B2317),J2317,"")</f>
        <v>56320</v>
      </c>
      <c r="M398" s="2">
        <f>VLOOKUP(F2316,Sheet2!$A$2:$B$500,2,FALSE)</f>
        <v>951.77</v>
      </c>
    </row>
    <row r="399" ht="15.75" customHeight="1" spans="1:13">
      <c r="A399" s="5">
        <v>4291</v>
      </c>
      <c r="B399" s="5" t="s">
        <v>328</v>
      </c>
      <c r="C399" s="5" t="s">
        <v>335</v>
      </c>
      <c r="D399" s="5">
        <v>1</v>
      </c>
      <c r="E399" s="2">
        <f>IF(B2317=B2316,E2316+1,1)</f>
        <v>8</v>
      </c>
      <c r="F399" s="5" t="s">
        <v>312</v>
      </c>
      <c r="G399" s="5">
        <v>1</v>
      </c>
      <c r="H399" s="5" t="s">
        <v>336</v>
      </c>
      <c r="I399" s="5">
        <v>1</v>
      </c>
      <c r="J399" s="5">
        <v>56320</v>
      </c>
      <c r="K399" s="5">
        <v>56320</v>
      </c>
      <c r="L399" s="5">
        <f>IF(AND(H2317=C2318,B2317=B2318),J2318,"")</f>
        <v>56816</v>
      </c>
      <c r="M399" s="2">
        <f>VLOOKUP(F2317,Sheet2!$A$2:$B$500,2,FALSE)</f>
        <v>942.97</v>
      </c>
    </row>
    <row r="400" ht="15.75" customHeight="1" spans="1:13">
      <c r="A400" s="5">
        <v>4292</v>
      </c>
      <c r="B400" s="5" t="s">
        <v>328</v>
      </c>
      <c r="C400" s="5" t="s">
        <v>336</v>
      </c>
      <c r="D400" s="5">
        <v>1</v>
      </c>
      <c r="E400" s="2">
        <f>IF(B2318=B2317,E2317+1,1)</f>
        <v>9</v>
      </c>
      <c r="F400" s="5" t="s">
        <v>310</v>
      </c>
      <c r="G400" s="5">
        <v>1</v>
      </c>
      <c r="H400" s="5" t="s">
        <v>337</v>
      </c>
      <c r="I400" s="5">
        <v>2</v>
      </c>
      <c r="J400" s="5">
        <v>56816</v>
      </c>
      <c r="K400" s="5">
        <v>56936</v>
      </c>
      <c r="L400" s="5">
        <f>IF(AND(H2318=C2319,B2318=B2319),J2319,"")</f>
        <v>57236</v>
      </c>
      <c r="M400" s="2">
        <f>VLOOKUP(F2318,Sheet2!$A$2:$B$500,2,FALSE)</f>
        <v>934.97</v>
      </c>
    </row>
    <row r="401" ht="15.75" customHeight="1" spans="1:13">
      <c r="A401" s="5">
        <v>4293</v>
      </c>
      <c r="B401" s="5" t="s">
        <v>328</v>
      </c>
      <c r="C401" s="5" t="s">
        <v>337</v>
      </c>
      <c r="D401" s="5">
        <v>2</v>
      </c>
      <c r="E401" s="2">
        <f>IF(B2319=B2318,E2318+1,1)</f>
        <v>10</v>
      </c>
      <c r="F401" s="5" t="s">
        <v>308</v>
      </c>
      <c r="G401" s="5">
        <v>5</v>
      </c>
      <c r="H401" s="5" t="s">
        <v>338</v>
      </c>
      <c r="I401" s="5">
        <v>2</v>
      </c>
      <c r="J401" s="5">
        <v>57236</v>
      </c>
      <c r="K401" s="5">
        <v>57236</v>
      </c>
      <c r="L401" s="5">
        <f>IF(AND(H2319=C2320,B2319=B2320),J2320,"")</f>
        <v>57478</v>
      </c>
      <c r="M401" s="2">
        <f>VLOOKUP(F2319,Sheet2!$A$2:$B$500,2,FALSE)</f>
        <v>928.67</v>
      </c>
    </row>
    <row r="402" ht="15.75" customHeight="1" spans="1:13">
      <c r="A402" s="5">
        <v>4294</v>
      </c>
      <c r="B402" s="5" t="s">
        <v>328</v>
      </c>
      <c r="C402" s="5" t="s">
        <v>338</v>
      </c>
      <c r="D402" s="5">
        <v>2</v>
      </c>
      <c r="E402" s="2">
        <f>IF(B2320=B2319,E2319+1,1)</f>
        <v>11</v>
      </c>
      <c r="F402" s="5" t="s">
        <v>306</v>
      </c>
      <c r="G402" s="5">
        <v>3</v>
      </c>
      <c r="H402" s="5" t="s">
        <v>339</v>
      </c>
      <c r="I402" s="5">
        <v>2</v>
      </c>
      <c r="J402" s="5">
        <v>57478</v>
      </c>
      <c r="K402" s="5">
        <v>57478</v>
      </c>
      <c r="L402" s="5">
        <f>IF(AND(H2320=C2321,B2320=B2321),J2321,"")</f>
        <v>57794</v>
      </c>
      <c r="M402" s="2">
        <f>VLOOKUP(F2320,Sheet2!$A$2:$B$500,2,FALSE)</f>
        <v>922.17</v>
      </c>
    </row>
    <row r="403" ht="15.75" customHeight="1" spans="1:13">
      <c r="A403" s="5">
        <v>4295</v>
      </c>
      <c r="B403" s="5" t="s">
        <v>328</v>
      </c>
      <c r="C403" s="5" t="s">
        <v>339</v>
      </c>
      <c r="D403" s="5">
        <v>2</v>
      </c>
      <c r="E403" s="2">
        <f>IF(B2321=B2320,E2320+1,1)</f>
        <v>12</v>
      </c>
      <c r="F403" s="5" t="s">
        <v>304</v>
      </c>
      <c r="G403" s="5">
        <v>2</v>
      </c>
      <c r="H403" s="5" t="s">
        <v>340</v>
      </c>
      <c r="I403" s="5">
        <v>2</v>
      </c>
      <c r="J403" s="5">
        <v>57794</v>
      </c>
      <c r="K403" s="5">
        <v>57794</v>
      </c>
      <c r="L403" s="5">
        <f>IF(AND(H2321=C2322,B2321=B2322),J2322,"")</f>
        <v>58214</v>
      </c>
      <c r="M403" s="2">
        <f>VLOOKUP(F2321,Sheet2!$A$2:$B$500,2,FALSE)</f>
        <v>914.24</v>
      </c>
    </row>
    <row r="404" ht="15.75" customHeight="1" spans="1:13">
      <c r="A404" s="5">
        <v>4296</v>
      </c>
      <c r="B404" s="5" t="s">
        <v>328</v>
      </c>
      <c r="C404" s="5" t="s">
        <v>340</v>
      </c>
      <c r="D404" s="5">
        <v>2</v>
      </c>
      <c r="E404" s="2">
        <f>IF(B2322=B2321,E2321+1,1)</f>
        <v>13</v>
      </c>
      <c r="F404" s="5" t="s">
        <v>302</v>
      </c>
      <c r="G404" s="5">
        <v>1</v>
      </c>
      <c r="H404" s="5" t="s">
        <v>341</v>
      </c>
      <c r="I404" s="5">
        <v>2</v>
      </c>
      <c r="J404" s="5">
        <v>58214</v>
      </c>
      <c r="K404" s="5">
        <v>58334</v>
      </c>
      <c r="L404" s="5">
        <f>IF(AND(H2322=C2323,B2322=B2323),J2323,"")</f>
        <v>58650</v>
      </c>
      <c r="M404" s="2">
        <f>VLOOKUP(F2322,Sheet2!$A$2:$B$500,2,FALSE)</f>
        <v>903.76</v>
      </c>
    </row>
    <row r="405" ht="15.75" customHeight="1" spans="1:13">
      <c r="A405" s="5">
        <v>4297</v>
      </c>
      <c r="B405" s="5" t="s">
        <v>328</v>
      </c>
      <c r="C405" s="5" t="s">
        <v>341</v>
      </c>
      <c r="D405" s="5">
        <v>2</v>
      </c>
      <c r="E405" s="2">
        <f>IF(B2323=B2322,E2322+1,1)</f>
        <v>14</v>
      </c>
      <c r="F405" s="5" t="s">
        <v>300</v>
      </c>
      <c r="G405" s="5">
        <v>2</v>
      </c>
      <c r="H405" s="5" t="s">
        <v>342</v>
      </c>
      <c r="I405" s="5">
        <v>2</v>
      </c>
      <c r="J405" s="5">
        <v>58650</v>
      </c>
      <c r="K405" s="5">
        <v>58650</v>
      </c>
      <c r="L405" s="5">
        <f>IF(AND(H2323=C2324,B2323=B2324),J2324,"")</f>
        <v>58956</v>
      </c>
      <c r="M405" s="2">
        <f>VLOOKUP(F2323,Sheet2!$A$2:$B$500,2,FALSE)</f>
        <v>895.73</v>
      </c>
    </row>
    <row r="406" ht="15.75" customHeight="1" spans="1:13">
      <c r="A406" s="5">
        <v>4298</v>
      </c>
      <c r="B406" s="5" t="s">
        <v>328</v>
      </c>
      <c r="C406" s="5" t="s">
        <v>342</v>
      </c>
      <c r="D406" s="5">
        <v>2</v>
      </c>
      <c r="E406" s="2">
        <f>IF(B2324=B2323,E2323+1,1)</f>
        <v>15</v>
      </c>
      <c r="F406" s="5" t="s">
        <v>298</v>
      </c>
      <c r="G406" s="5">
        <v>2</v>
      </c>
      <c r="H406" s="5" t="s">
        <v>343</v>
      </c>
      <c r="I406" s="5">
        <v>2</v>
      </c>
      <c r="J406" s="5">
        <v>58956</v>
      </c>
      <c r="K406" s="5">
        <v>58956</v>
      </c>
      <c r="L406" s="5">
        <f>IF(AND(H2324=C2325,B2324=B2325),J2325,"")</f>
        <v>59316</v>
      </c>
      <c r="M406" s="2">
        <f>VLOOKUP(F2324,Sheet2!$A$2:$B$500,2,FALSE)</f>
        <v>888.73</v>
      </c>
    </row>
    <row r="407" ht="15.75" customHeight="1" spans="1:13">
      <c r="A407" s="5">
        <v>4299</v>
      </c>
      <c r="B407" s="5" t="s">
        <v>328</v>
      </c>
      <c r="C407" s="5" t="s">
        <v>343</v>
      </c>
      <c r="D407" s="5">
        <v>2</v>
      </c>
      <c r="E407" s="2">
        <f>IF(B2325=B2324,E2324+1,1)</f>
        <v>16</v>
      </c>
      <c r="F407" s="5" t="s">
        <v>296</v>
      </c>
      <c r="G407" s="5">
        <v>2</v>
      </c>
      <c r="H407" s="5" t="s">
        <v>344</v>
      </c>
      <c r="I407" s="5">
        <v>1</v>
      </c>
      <c r="J407" s="5">
        <v>59316</v>
      </c>
      <c r="K407" s="5">
        <v>59316</v>
      </c>
      <c r="L407" s="5">
        <f>IF(AND(H2325=C2326,B2325=B2326),J2326,"")</f>
        <v>59636</v>
      </c>
      <c r="M407" s="2">
        <f>VLOOKUP(F2325,Sheet2!$A$2:$B$500,2,FALSE)</f>
        <v>881.23</v>
      </c>
    </row>
    <row r="408" ht="15.75" customHeight="1" spans="1:13">
      <c r="A408" s="5">
        <v>4300</v>
      </c>
      <c r="B408" s="5" t="s">
        <v>328</v>
      </c>
      <c r="C408" s="5" t="s">
        <v>344</v>
      </c>
      <c r="D408" s="5">
        <v>1</v>
      </c>
      <c r="E408" s="2">
        <f>IF(B2326=B2325,E2325+1,1)</f>
        <v>17</v>
      </c>
      <c r="F408" s="5" t="s">
        <v>294</v>
      </c>
      <c r="G408" s="5">
        <v>1</v>
      </c>
      <c r="H408" s="5" t="s">
        <v>345</v>
      </c>
      <c r="I408" s="5">
        <v>2</v>
      </c>
      <c r="J408" s="5">
        <v>59636</v>
      </c>
      <c r="K408" s="5">
        <v>59936</v>
      </c>
      <c r="L408" s="5">
        <f>IF(AND(H2326=C2327,B2326=B2327),J2327,"")</f>
        <v>60062</v>
      </c>
      <c r="M408" s="2">
        <f>VLOOKUP(F2326,Sheet2!$A$2:$B$500,2,FALSE)</f>
        <v>872.83</v>
      </c>
    </row>
    <row r="409" ht="15.75" customHeight="1" spans="1:13">
      <c r="A409" s="5">
        <v>4301</v>
      </c>
      <c r="B409" s="5" t="s">
        <v>328</v>
      </c>
      <c r="C409" s="5" t="s">
        <v>345</v>
      </c>
      <c r="D409" s="5">
        <v>2</v>
      </c>
      <c r="E409" s="2">
        <f>IF(B2327=B2326,E2326+1,1)</f>
        <v>18</v>
      </c>
      <c r="F409" s="5" t="s">
        <v>292</v>
      </c>
      <c r="G409" s="5">
        <v>2</v>
      </c>
      <c r="H409" s="5" t="s">
        <v>346</v>
      </c>
      <c r="I409" s="5">
        <v>2</v>
      </c>
      <c r="J409" s="5">
        <v>60062</v>
      </c>
      <c r="K409" s="5">
        <v>60062</v>
      </c>
      <c r="L409" s="5">
        <f>IF(AND(H2327=C2328,B2327=B2328),J2328,"")</f>
        <v>60280</v>
      </c>
      <c r="M409" s="2">
        <f>VLOOKUP(F2327,Sheet2!$A$2:$B$500,2,FALSE)</f>
        <v>872.03</v>
      </c>
    </row>
    <row r="410" ht="15.75" customHeight="1" spans="1:13">
      <c r="A410" s="5">
        <v>4302</v>
      </c>
      <c r="B410" s="5" t="s">
        <v>328</v>
      </c>
      <c r="C410" s="5" t="s">
        <v>346</v>
      </c>
      <c r="D410" s="5">
        <v>2</v>
      </c>
      <c r="E410" s="2">
        <f>IF(B2328=B2327,E2327+1,1)</f>
        <v>19</v>
      </c>
      <c r="F410" s="5" t="s">
        <v>290</v>
      </c>
      <c r="G410" s="5">
        <v>1</v>
      </c>
      <c r="H410" s="5" t="s">
        <v>347</v>
      </c>
      <c r="I410" s="5">
        <v>2</v>
      </c>
      <c r="J410" s="5">
        <v>60280</v>
      </c>
      <c r="K410" s="5">
        <v>60280</v>
      </c>
      <c r="L410" s="5">
        <f>IF(AND(H2328=C2329,B2328=B2329),J2329,"")</f>
        <v>60510</v>
      </c>
      <c r="M410" s="2">
        <f>VLOOKUP(F2328,Sheet2!$A$2:$B$500,2,FALSE)</f>
        <v>868.03</v>
      </c>
    </row>
    <row r="411" ht="15.75" customHeight="1" spans="1:13">
      <c r="A411" s="5">
        <v>4303</v>
      </c>
      <c r="B411" s="5" t="s">
        <v>328</v>
      </c>
      <c r="C411" s="5" t="s">
        <v>347</v>
      </c>
      <c r="D411" s="5">
        <v>2</v>
      </c>
      <c r="E411" s="2">
        <f>IF(B2329=B2328,E2328+1,1)</f>
        <v>20</v>
      </c>
      <c r="F411" s="5" t="s">
        <v>288</v>
      </c>
      <c r="G411" s="5">
        <v>2</v>
      </c>
      <c r="H411" s="5" t="s">
        <v>348</v>
      </c>
      <c r="I411" s="5">
        <v>2</v>
      </c>
      <c r="J411" s="5">
        <v>60510</v>
      </c>
      <c r="K411" s="5">
        <v>60510</v>
      </c>
      <c r="L411" s="5">
        <f>IF(AND(H2329=C2330,B2329=B2330),J2330,"")</f>
        <v>60728</v>
      </c>
      <c r="M411" s="2">
        <f>VLOOKUP(F2329,Sheet2!$A$2:$B$500,2,FALSE)</f>
        <v>862.82</v>
      </c>
    </row>
    <row r="412" ht="15.75" customHeight="1" spans="1:13">
      <c r="A412" s="5">
        <v>4304</v>
      </c>
      <c r="B412" s="5" t="s">
        <v>328</v>
      </c>
      <c r="C412" s="5" t="s">
        <v>348</v>
      </c>
      <c r="D412" s="5">
        <v>2</v>
      </c>
      <c r="E412" s="2">
        <f>IF(B2330=B2329,E2329+1,1)</f>
        <v>21</v>
      </c>
      <c r="F412" s="5" t="s">
        <v>286</v>
      </c>
      <c r="G412" s="5">
        <v>1</v>
      </c>
      <c r="H412" s="5" t="s">
        <v>349</v>
      </c>
      <c r="I412" s="5">
        <v>1</v>
      </c>
      <c r="J412" s="5">
        <v>60728</v>
      </c>
      <c r="K412" s="5">
        <v>60728</v>
      </c>
      <c r="L412" s="5">
        <f>IF(AND(H2330=C2331,B2330=B2331),J2331,"")</f>
        <v>60908</v>
      </c>
      <c r="M412" s="2">
        <f>VLOOKUP(F2330,Sheet2!$A$2:$B$500,2,FALSE)</f>
        <v>858.78</v>
      </c>
    </row>
    <row r="413" ht="15.75" customHeight="1" spans="1:13">
      <c r="A413" s="5">
        <v>4305</v>
      </c>
      <c r="B413" s="5" t="s">
        <v>328</v>
      </c>
      <c r="C413" s="5" t="s">
        <v>349</v>
      </c>
      <c r="D413" s="5">
        <v>1</v>
      </c>
      <c r="E413" s="2">
        <f>IF(B2331=B2330,E2330+1,1)</f>
        <v>22</v>
      </c>
      <c r="F413" s="5" t="s">
        <v>350</v>
      </c>
      <c r="G413" s="5">
        <v>3</v>
      </c>
      <c r="H413" s="5" t="s">
        <v>351</v>
      </c>
      <c r="I413" s="5">
        <v>2</v>
      </c>
      <c r="J413" s="5">
        <v>60908</v>
      </c>
      <c r="K413" s="5">
        <v>60908</v>
      </c>
      <c r="L413" s="5">
        <f>IF(AND(H2331=C2332,B2331=B2332),J2332,"")</f>
        <v>60968</v>
      </c>
      <c r="M413" s="2">
        <f>VLOOKUP(F2331,Sheet2!$A$2:$B$500,2,FALSE)</f>
        <v>850</v>
      </c>
    </row>
    <row r="414" ht="15.75" customHeight="1" spans="1:13">
      <c r="A414" s="5">
        <v>4306</v>
      </c>
      <c r="B414" s="5" t="s">
        <v>328</v>
      </c>
      <c r="C414" s="5" t="s">
        <v>351</v>
      </c>
      <c r="D414" s="5">
        <v>2</v>
      </c>
      <c r="E414" s="2">
        <f>IF(B2332=B2331,E2331+1,1)</f>
        <v>23</v>
      </c>
      <c r="F414" s="5" t="s">
        <v>352</v>
      </c>
      <c r="G414" s="5">
        <v>2</v>
      </c>
      <c r="H414" s="5" t="s">
        <v>353</v>
      </c>
      <c r="I414" s="5">
        <v>2</v>
      </c>
      <c r="J414" s="5">
        <v>60968</v>
      </c>
      <c r="K414" s="5">
        <v>60968</v>
      </c>
      <c r="L414" s="5">
        <f>IF(AND(H2332=C2333,B2332=B2333),J2333,"")</f>
        <v>61032</v>
      </c>
      <c r="M414" s="2">
        <f>VLOOKUP(F2332,Sheet2!$A$2:$B$500,2,FALSE)</f>
        <v>848</v>
      </c>
    </row>
    <row r="415" ht="15.75" customHeight="1" spans="1:13">
      <c r="A415" s="5">
        <v>4307</v>
      </c>
      <c r="B415" s="5" t="s">
        <v>328</v>
      </c>
      <c r="C415" s="5" t="s">
        <v>353</v>
      </c>
      <c r="D415" s="5">
        <v>2</v>
      </c>
      <c r="E415" s="2">
        <f>IF(B2333=B2332,E2332+1,1)</f>
        <v>24</v>
      </c>
      <c r="F415" s="5" t="s">
        <v>354</v>
      </c>
      <c r="G415" s="5">
        <v>2</v>
      </c>
      <c r="H415" s="5" t="s">
        <v>355</v>
      </c>
      <c r="I415" s="5">
        <v>1</v>
      </c>
      <c r="J415" s="5">
        <v>61032</v>
      </c>
      <c r="K415" s="5">
        <v>61032</v>
      </c>
      <c r="L415" s="5">
        <f>IF(AND(H2333=C2334,B2333=B2334),J2334,"")</f>
        <v>61182</v>
      </c>
      <c r="M415" s="2">
        <f>VLOOKUP(F2333,Sheet2!$A$2:$B$500,2,FALSE)</f>
        <v>846</v>
      </c>
    </row>
    <row r="416" ht="15.75" customHeight="1" spans="1:13">
      <c r="A416" s="5">
        <v>4308</v>
      </c>
      <c r="B416" s="5" t="s">
        <v>328</v>
      </c>
      <c r="C416" s="5" t="s">
        <v>355</v>
      </c>
      <c r="D416" s="5">
        <v>1</v>
      </c>
      <c r="E416" s="2">
        <f>IF(B2334=B2333,E2333+1,1)</f>
        <v>25</v>
      </c>
      <c r="F416" s="5" t="s">
        <v>356</v>
      </c>
      <c r="G416" s="5">
        <v>1</v>
      </c>
      <c r="H416" s="5" t="s">
        <v>357</v>
      </c>
      <c r="I416" s="5">
        <v>1</v>
      </c>
      <c r="J416" s="5">
        <v>61182</v>
      </c>
      <c r="K416" s="5">
        <v>61182</v>
      </c>
      <c r="L416" s="5" t="str">
        <f>IF(AND(H2334=C2335,B2334=B2335),J2335,"")</f>
        <v/>
      </c>
      <c r="M416" s="2">
        <f>VLOOKUP(F2334,Sheet2!$A$2:$B$500,2,FALSE)</f>
        <v>844</v>
      </c>
    </row>
  </sheetData>
  <autoFilter ref="A1:M21644" ns1:filterBottomFollowUsedRange="0">
    <extLst/>
  </autoFilter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>
  <sheetPr>
    <outlinePr summaryBelow="0" summaryRight="0"/>
  </sheetPr>
  <dimension ref="A1:B319"/>
  <sheetViews>
    <sheetView topLeftCell="A305" workbookViewId="0">
      <selection activeCell="A1" sqref="A1"/>
    </sheetView>
  </sheetViews>
  <sheetFormatPr defaultColWidth="14.4259259259259" defaultRowHeight="15" customHeight="1" outlineLevelCol="1"/>
  <sheetData>
    <row r="1" customHeight="1" spans="1:2">
      <c r="A1" s="1" t="s">
        <v>5</v>
      </c>
      <c r="B1" s="1" t="s">
        <v>358</v>
      </c>
    </row>
    <row r="2" customHeight="1" spans="1:2">
      <c r="A2" s="2" t="s">
        <v>15</v>
      </c>
      <c r="B2" s="2">
        <v>0</v>
      </c>
    </row>
    <row r="3" customHeight="1" spans="1:2">
      <c r="A3" s="2" t="s">
        <v>17</v>
      </c>
      <c r="B3" s="2">
        <v>2.7</v>
      </c>
    </row>
    <row r="4" customHeight="1" spans="1:2">
      <c r="A4" s="2" t="s">
        <v>19</v>
      </c>
      <c r="B4" s="2">
        <v>4.44</v>
      </c>
    </row>
    <row r="5" customHeight="1" spans="1:2">
      <c r="A5" s="2" t="s">
        <v>21</v>
      </c>
      <c r="B5" s="2">
        <v>6.08</v>
      </c>
    </row>
    <row r="6" customHeight="1" spans="1:2">
      <c r="A6" s="2" t="s">
        <v>23</v>
      </c>
      <c r="B6" s="2">
        <v>7.48</v>
      </c>
    </row>
    <row r="7" customHeight="1" spans="1:2">
      <c r="A7" s="2" t="s">
        <v>25</v>
      </c>
      <c r="B7" s="2">
        <v>10.3</v>
      </c>
    </row>
    <row r="8" customHeight="1" spans="1:2">
      <c r="A8" s="2" t="s">
        <v>27</v>
      </c>
      <c r="B8" s="2">
        <v>12.3</v>
      </c>
    </row>
    <row r="9" customHeight="1" spans="1:2">
      <c r="A9" s="2" t="s">
        <v>29</v>
      </c>
      <c r="B9" s="2">
        <v>15.9</v>
      </c>
    </row>
    <row r="10" customHeight="1" spans="1:2">
      <c r="A10" s="2" t="s">
        <v>31</v>
      </c>
      <c r="B10" s="2">
        <v>17.2</v>
      </c>
    </row>
    <row r="11" customHeight="1" spans="1:2">
      <c r="A11" s="2" t="s">
        <v>33</v>
      </c>
      <c r="B11" s="2">
        <v>20.2</v>
      </c>
    </row>
    <row r="12" customHeight="1" spans="1:2">
      <c r="A12" s="2" t="s">
        <v>35</v>
      </c>
      <c r="B12" s="2">
        <v>24.1</v>
      </c>
    </row>
    <row r="13" customHeight="1" spans="1:2">
      <c r="A13" s="2" t="s">
        <v>37</v>
      </c>
      <c r="B13" s="2">
        <v>27.24</v>
      </c>
    </row>
    <row r="14" customHeight="1" spans="1:2">
      <c r="A14" s="2" t="s">
        <v>39</v>
      </c>
      <c r="B14" s="2">
        <v>29.84</v>
      </c>
    </row>
    <row r="15" customHeight="1" spans="1:2">
      <c r="A15" s="2" t="s">
        <v>41</v>
      </c>
      <c r="B15" s="2">
        <v>32.24</v>
      </c>
    </row>
    <row r="16" customHeight="1" spans="1:2">
      <c r="A16" s="2" t="s">
        <v>43</v>
      </c>
      <c r="B16" s="2">
        <v>36.35</v>
      </c>
    </row>
    <row r="17" customHeight="1" spans="1:2">
      <c r="A17" s="2" t="s">
        <v>45</v>
      </c>
      <c r="B17" s="2">
        <v>39.85</v>
      </c>
    </row>
    <row r="18" customHeight="1" spans="1:2">
      <c r="A18" s="2" t="s">
        <v>47</v>
      </c>
      <c r="B18" s="2">
        <v>45.27</v>
      </c>
    </row>
    <row r="19" customHeight="1" spans="1:2">
      <c r="A19" s="2" t="s">
        <v>49</v>
      </c>
      <c r="B19" s="2">
        <v>47.94</v>
      </c>
    </row>
    <row r="20" customHeight="1" spans="1:2">
      <c r="A20" s="2" t="s">
        <v>51</v>
      </c>
      <c r="B20" s="2">
        <v>51.05</v>
      </c>
    </row>
    <row r="21" customHeight="1" spans="1:2">
      <c r="A21" s="2" t="s">
        <v>53</v>
      </c>
      <c r="B21" s="2">
        <v>55.05</v>
      </c>
    </row>
    <row r="22" customHeight="1" spans="1:2">
      <c r="A22" s="2" t="s">
        <v>55</v>
      </c>
      <c r="B22" s="2">
        <v>58.45</v>
      </c>
    </row>
    <row r="23" customHeight="1" spans="1:2">
      <c r="A23" s="2" t="s">
        <v>57</v>
      </c>
      <c r="B23" s="2">
        <v>61.25</v>
      </c>
    </row>
    <row r="24" customHeight="1" spans="1:2">
      <c r="A24" s="2" t="s">
        <v>59</v>
      </c>
      <c r="B24" s="2">
        <v>63.75</v>
      </c>
    </row>
    <row r="25" customHeight="1" spans="1:2">
      <c r="A25" s="2" t="s">
        <v>61</v>
      </c>
      <c r="B25" s="2">
        <v>67.39</v>
      </c>
    </row>
    <row r="26" customHeight="1" spans="1:2">
      <c r="A26" s="2" t="s">
        <v>63</v>
      </c>
      <c r="B26" s="2">
        <v>68.59</v>
      </c>
    </row>
    <row r="27" customHeight="1" spans="1:2">
      <c r="A27" s="2" t="s">
        <v>65</v>
      </c>
      <c r="B27" s="2">
        <v>71.26</v>
      </c>
    </row>
    <row r="28" customHeight="1" spans="1:2">
      <c r="A28" s="2" t="s">
        <v>67</v>
      </c>
      <c r="B28" s="2">
        <v>76.26</v>
      </c>
    </row>
    <row r="29" customHeight="1" spans="1:2">
      <c r="A29" s="2" t="s">
        <v>69</v>
      </c>
      <c r="B29" s="2">
        <v>80.62</v>
      </c>
    </row>
    <row r="30" customHeight="1" spans="1:2">
      <c r="A30" s="2" t="s">
        <v>71</v>
      </c>
      <c r="B30" s="2">
        <v>84.62</v>
      </c>
    </row>
    <row r="31" customHeight="1" spans="1:2">
      <c r="A31" s="2" t="s">
        <v>73</v>
      </c>
      <c r="B31" s="2">
        <v>87.97</v>
      </c>
    </row>
    <row r="32" customHeight="1" spans="1:2">
      <c r="A32" s="2" t="s">
        <v>75</v>
      </c>
      <c r="B32" s="2">
        <v>91.19</v>
      </c>
    </row>
    <row r="33" customHeight="1" spans="1:2">
      <c r="A33" s="2" t="s">
        <v>77</v>
      </c>
      <c r="B33" s="2">
        <v>97.09</v>
      </c>
    </row>
    <row r="34" customHeight="1" spans="1:2">
      <c r="A34" s="2" t="s">
        <v>79</v>
      </c>
      <c r="B34" s="2">
        <v>103.11</v>
      </c>
    </row>
    <row r="35" customHeight="1" spans="1:2">
      <c r="A35" s="2" t="s">
        <v>81</v>
      </c>
      <c r="B35" s="2">
        <v>108.81</v>
      </c>
    </row>
    <row r="36" customHeight="1" spans="1:2">
      <c r="A36" s="2" t="s">
        <v>83</v>
      </c>
      <c r="B36" s="2">
        <v>116.01</v>
      </c>
    </row>
    <row r="37" customHeight="1" spans="1:2">
      <c r="A37" s="2" t="s">
        <v>85</v>
      </c>
      <c r="B37" s="2">
        <v>122.31</v>
      </c>
    </row>
    <row r="38" customHeight="1" spans="1:2">
      <c r="A38" s="2" t="s">
        <v>87</v>
      </c>
      <c r="B38" s="2">
        <v>124.31</v>
      </c>
    </row>
    <row r="39" customHeight="1" spans="1:2">
      <c r="A39" s="2" t="s">
        <v>89</v>
      </c>
      <c r="B39" s="2">
        <v>130.91</v>
      </c>
    </row>
    <row r="40" customHeight="1" spans="1:2">
      <c r="A40" s="2" t="s">
        <v>91</v>
      </c>
      <c r="B40" s="2">
        <v>138.81</v>
      </c>
    </row>
    <row r="41" customHeight="1" spans="1:2">
      <c r="A41" s="2" t="s">
        <v>93</v>
      </c>
      <c r="B41" s="2">
        <v>145.57</v>
      </c>
    </row>
    <row r="42" customHeight="1" spans="1:2">
      <c r="A42" s="2" t="s">
        <v>95</v>
      </c>
      <c r="B42" s="2">
        <v>154.14</v>
      </c>
    </row>
    <row r="43" customHeight="1" spans="1:2">
      <c r="A43" s="2" t="s">
        <v>97</v>
      </c>
      <c r="B43" s="2">
        <v>161.42</v>
      </c>
    </row>
    <row r="44" customHeight="1" spans="1:2">
      <c r="A44" s="2" t="s">
        <v>99</v>
      </c>
      <c r="B44" s="2">
        <v>169.73</v>
      </c>
    </row>
    <row r="45" customHeight="1" spans="1:2">
      <c r="A45" s="2" t="s">
        <v>101</v>
      </c>
      <c r="B45" s="2">
        <v>177.34</v>
      </c>
    </row>
    <row r="46" customHeight="1" spans="1:2">
      <c r="A46" s="2" t="s">
        <v>103</v>
      </c>
      <c r="B46" s="2">
        <v>183.35</v>
      </c>
    </row>
    <row r="47" customHeight="1" spans="1:2">
      <c r="A47" s="2" t="s">
        <v>105</v>
      </c>
      <c r="B47" s="2">
        <v>192.45</v>
      </c>
    </row>
    <row r="48" customHeight="1" spans="1:2">
      <c r="A48" s="2" t="s">
        <v>107</v>
      </c>
      <c r="B48" s="2">
        <v>201.81</v>
      </c>
    </row>
    <row r="49" customHeight="1" spans="1:2">
      <c r="A49" s="2" t="s">
        <v>109</v>
      </c>
      <c r="B49" s="2">
        <v>207.45</v>
      </c>
    </row>
    <row r="50" customHeight="1" spans="1:2">
      <c r="A50" s="2" t="s">
        <v>111</v>
      </c>
      <c r="B50" s="2">
        <v>213.87</v>
      </c>
    </row>
    <row r="51" customHeight="1" spans="1:2">
      <c r="A51" s="2" t="s">
        <v>113</v>
      </c>
      <c r="B51" s="2">
        <v>223.82</v>
      </c>
    </row>
    <row r="52" customHeight="1" spans="1:2">
      <c r="A52" s="2" t="s">
        <v>115</v>
      </c>
      <c r="B52" s="2">
        <v>230.82</v>
      </c>
    </row>
    <row r="53" customHeight="1" spans="1:2">
      <c r="A53" s="2" t="s">
        <v>117</v>
      </c>
      <c r="B53" s="2">
        <v>235.72</v>
      </c>
    </row>
    <row r="54" customHeight="1" spans="1:2">
      <c r="A54" s="2" t="s">
        <v>119</v>
      </c>
      <c r="B54" s="2">
        <v>243.13</v>
      </c>
    </row>
    <row r="55" customHeight="1" spans="1:2">
      <c r="A55" s="2" t="s">
        <v>121</v>
      </c>
      <c r="B55" s="2">
        <v>247.11</v>
      </c>
    </row>
    <row r="56" customHeight="1" spans="1:2">
      <c r="A56" s="2" t="s">
        <v>123</v>
      </c>
      <c r="B56" s="2">
        <v>250.21</v>
      </c>
    </row>
    <row r="57" customHeight="1" spans="1:2">
      <c r="A57" s="2" t="s">
        <v>125</v>
      </c>
      <c r="B57" s="2">
        <v>254.61</v>
      </c>
    </row>
    <row r="58" customHeight="1" spans="1:2">
      <c r="A58" s="2" t="s">
        <v>127</v>
      </c>
      <c r="B58" s="2">
        <v>260.81</v>
      </c>
    </row>
    <row r="59" customHeight="1" spans="1:2">
      <c r="A59" s="2" t="s">
        <v>129</v>
      </c>
      <c r="B59" s="2">
        <v>269.89</v>
      </c>
    </row>
    <row r="60" customHeight="1" spans="1:2">
      <c r="A60" s="2" t="s">
        <v>131</v>
      </c>
      <c r="B60" s="2">
        <v>277.05</v>
      </c>
    </row>
    <row r="61" customHeight="1" spans="1:2">
      <c r="A61" s="2" t="s">
        <v>133</v>
      </c>
      <c r="B61" s="2">
        <v>284.85</v>
      </c>
    </row>
    <row r="62" customHeight="1" spans="1:2">
      <c r="A62" s="2" t="s">
        <v>135</v>
      </c>
      <c r="B62" s="2">
        <v>292.25</v>
      </c>
    </row>
    <row r="63" customHeight="1" spans="1:2">
      <c r="A63" s="2" t="s">
        <v>137</v>
      </c>
      <c r="B63" s="2">
        <v>294.17</v>
      </c>
    </row>
    <row r="64" customHeight="1" spans="1:2">
      <c r="A64" s="2" t="s">
        <v>359</v>
      </c>
      <c r="B64" s="2">
        <v>301.81</v>
      </c>
    </row>
    <row r="65" customHeight="1" spans="1:2">
      <c r="A65" s="2" t="s">
        <v>360</v>
      </c>
      <c r="B65" s="2">
        <v>312.51</v>
      </c>
    </row>
    <row r="66" customHeight="1" spans="1:2">
      <c r="A66" s="2" t="s">
        <v>361</v>
      </c>
      <c r="B66" s="2">
        <v>321.91</v>
      </c>
    </row>
    <row r="67" customHeight="1" spans="1:2">
      <c r="A67" s="2" t="s">
        <v>362</v>
      </c>
      <c r="B67" s="2">
        <v>333.41</v>
      </c>
    </row>
    <row r="68" customHeight="1" spans="1:2">
      <c r="A68" s="2" t="s">
        <v>363</v>
      </c>
      <c r="B68" s="2">
        <v>338.71</v>
      </c>
    </row>
    <row r="69" customHeight="1" spans="1:2">
      <c r="A69" s="2" t="s">
        <v>364</v>
      </c>
      <c r="B69" s="2">
        <v>346.11</v>
      </c>
    </row>
    <row r="70" customHeight="1" spans="1:2">
      <c r="A70" s="2" t="s">
        <v>365</v>
      </c>
      <c r="B70" s="2">
        <v>351.11</v>
      </c>
    </row>
    <row r="71" customHeight="1" spans="1:2">
      <c r="A71" s="2" t="s">
        <v>366</v>
      </c>
      <c r="B71" s="2">
        <v>355.77</v>
      </c>
    </row>
    <row r="72" customHeight="1" spans="1:2">
      <c r="A72" s="2" t="s">
        <v>367</v>
      </c>
      <c r="B72" s="2">
        <v>362.61</v>
      </c>
    </row>
    <row r="73" customHeight="1" spans="1:2">
      <c r="A73" s="2" t="s">
        <v>368</v>
      </c>
      <c r="B73" s="2">
        <v>368.57</v>
      </c>
    </row>
    <row r="74" customHeight="1" spans="1:2">
      <c r="A74" s="2" t="s">
        <v>369</v>
      </c>
      <c r="B74" s="2">
        <v>373.57</v>
      </c>
    </row>
    <row r="75" customHeight="1" spans="1:2">
      <c r="A75" s="2" t="s">
        <v>370</v>
      </c>
      <c r="B75" s="2">
        <v>385.07</v>
      </c>
    </row>
    <row r="76" customHeight="1" spans="1:2">
      <c r="A76" s="2" t="s">
        <v>371</v>
      </c>
      <c r="B76" s="2">
        <v>392.97</v>
      </c>
    </row>
    <row r="77" customHeight="1" spans="1:2">
      <c r="A77" s="2" t="s">
        <v>372</v>
      </c>
      <c r="B77" s="2">
        <v>399.37</v>
      </c>
    </row>
    <row r="78" customHeight="1" spans="1:2">
      <c r="A78" s="2" t="s">
        <v>373</v>
      </c>
      <c r="B78" s="2">
        <v>403.57</v>
      </c>
    </row>
    <row r="79" customHeight="1" spans="1:2">
      <c r="A79" s="2" t="s">
        <v>374</v>
      </c>
      <c r="B79" s="2">
        <v>406.77</v>
      </c>
    </row>
    <row r="80" customHeight="1" spans="1:2">
      <c r="A80" s="2" t="s">
        <v>375</v>
      </c>
      <c r="B80" s="2">
        <v>409.17</v>
      </c>
    </row>
    <row r="81" customHeight="1" spans="1:2">
      <c r="A81" s="2" t="s">
        <v>376</v>
      </c>
      <c r="B81" s="2">
        <v>413.47</v>
      </c>
    </row>
    <row r="82" customHeight="1" spans="1:2">
      <c r="A82" s="2" t="s">
        <v>377</v>
      </c>
      <c r="B82" s="2">
        <v>418.42</v>
      </c>
    </row>
    <row r="83" customHeight="1" spans="1:2">
      <c r="A83" s="2" t="s">
        <v>378</v>
      </c>
      <c r="B83" s="2">
        <v>426.97</v>
      </c>
    </row>
    <row r="84" customHeight="1" spans="1:2">
      <c r="A84" s="2" t="s">
        <v>379</v>
      </c>
      <c r="B84" s="2">
        <v>433.97</v>
      </c>
    </row>
    <row r="85" customHeight="1" spans="1:2">
      <c r="A85" s="2" t="s">
        <v>380</v>
      </c>
      <c r="B85" s="2">
        <v>443.47</v>
      </c>
    </row>
    <row r="86" customHeight="1" spans="1:2">
      <c r="A86" s="2" t="s">
        <v>381</v>
      </c>
      <c r="B86" s="2">
        <v>450.77</v>
      </c>
    </row>
    <row r="87" customHeight="1" spans="1:2">
      <c r="A87" s="2" t="s">
        <v>382</v>
      </c>
      <c r="B87" s="2">
        <v>456.87</v>
      </c>
    </row>
    <row r="88" customHeight="1" spans="1:2">
      <c r="A88" s="2" t="s">
        <v>383</v>
      </c>
      <c r="B88" s="2">
        <v>461.97</v>
      </c>
    </row>
    <row r="89" customHeight="1" spans="1:2">
      <c r="A89" s="2" t="s">
        <v>384</v>
      </c>
      <c r="B89" s="2">
        <v>470.07</v>
      </c>
    </row>
    <row r="90" customHeight="1" spans="1:2">
      <c r="A90" s="2" t="s">
        <v>385</v>
      </c>
      <c r="B90" s="2">
        <v>478.17</v>
      </c>
    </row>
    <row r="91" customHeight="1" spans="1:2">
      <c r="A91" s="2" t="s">
        <v>386</v>
      </c>
      <c r="B91" s="2">
        <v>487.87</v>
      </c>
    </row>
    <row r="92" customHeight="1" spans="1:2">
      <c r="A92" s="2" t="s">
        <v>387</v>
      </c>
      <c r="B92" s="2">
        <v>493.97</v>
      </c>
    </row>
    <row r="93" customHeight="1" spans="1:2">
      <c r="A93" s="2" t="s">
        <v>388</v>
      </c>
      <c r="B93" s="2">
        <v>500.19</v>
      </c>
    </row>
    <row r="94" customHeight="1" spans="1:2">
      <c r="A94" s="2" t="s">
        <v>389</v>
      </c>
      <c r="B94" s="2">
        <v>506.05</v>
      </c>
    </row>
    <row r="95" customHeight="1" spans="1:2">
      <c r="A95" s="2" t="s">
        <v>390</v>
      </c>
      <c r="B95" s="2">
        <v>513.44</v>
      </c>
    </row>
    <row r="96" customHeight="1" spans="1:2">
      <c r="A96" s="2" t="s">
        <v>391</v>
      </c>
      <c r="B96" s="2">
        <v>515.64</v>
      </c>
    </row>
    <row r="97" customHeight="1" spans="1:2">
      <c r="A97" s="2" t="s">
        <v>392</v>
      </c>
      <c r="B97" s="2">
        <v>524.54</v>
      </c>
    </row>
    <row r="98" customHeight="1" spans="1:2">
      <c r="A98" s="2" t="s">
        <v>393</v>
      </c>
      <c r="B98" s="2">
        <v>527.24</v>
      </c>
    </row>
    <row r="99" customHeight="1" spans="1:2">
      <c r="A99" s="2" t="s">
        <v>394</v>
      </c>
      <c r="B99" s="2">
        <v>531.64</v>
      </c>
    </row>
    <row r="100" customHeight="1" spans="1:2">
      <c r="A100" s="2" t="s">
        <v>395</v>
      </c>
      <c r="B100" s="2">
        <v>536.34</v>
      </c>
    </row>
    <row r="101" customHeight="1" spans="1:2">
      <c r="A101" s="2" t="s">
        <v>396</v>
      </c>
      <c r="B101" s="2">
        <v>543.54</v>
      </c>
    </row>
    <row r="102" customHeight="1" spans="1:2">
      <c r="A102" s="2" t="s">
        <v>397</v>
      </c>
      <c r="B102" s="2">
        <v>549.64</v>
      </c>
    </row>
    <row r="103" customHeight="1" spans="1:2">
      <c r="A103" s="2" t="s">
        <v>398</v>
      </c>
      <c r="B103" s="2">
        <v>556.74</v>
      </c>
    </row>
    <row r="104" customHeight="1" spans="1:2">
      <c r="A104" s="2" t="s">
        <v>399</v>
      </c>
      <c r="B104" s="2">
        <v>563.44</v>
      </c>
    </row>
    <row r="105" customHeight="1" spans="1:2">
      <c r="A105" s="2" t="s">
        <v>400</v>
      </c>
      <c r="B105" s="2">
        <v>569.04</v>
      </c>
    </row>
    <row r="106" customHeight="1" spans="1:2">
      <c r="A106" s="2" t="s">
        <v>401</v>
      </c>
      <c r="B106" s="2">
        <v>577.54</v>
      </c>
    </row>
    <row r="107" customHeight="1" spans="1:2">
      <c r="A107" s="2" t="s">
        <v>402</v>
      </c>
      <c r="B107" s="2">
        <v>587.14</v>
      </c>
    </row>
    <row r="108" customHeight="1" spans="1:2">
      <c r="A108" s="2" t="s">
        <v>403</v>
      </c>
      <c r="B108" s="2">
        <v>595.04</v>
      </c>
    </row>
    <row r="109" customHeight="1" spans="1:2">
      <c r="A109" s="2" t="s">
        <v>404</v>
      </c>
      <c r="B109" s="2">
        <v>603.64</v>
      </c>
    </row>
    <row r="110" customHeight="1" spans="1:2">
      <c r="A110" s="2" t="s">
        <v>405</v>
      </c>
      <c r="B110" s="2">
        <v>609.24</v>
      </c>
    </row>
    <row r="111" customHeight="1" spans="1:2">
      <c r="A111" s="2" t="s">
        <v>406</v>
      </c>
      <c r="B111" s="2">
        <v>612.94</v>
      </c>
    </row>
    <row r="112" customHeight="1" spans="1:2">
      <c r="A112" s="2" t="s">
        <v>407</v>
      </c>
      <c r="B112" s="2">
        <v>621.14</v>
      </c>
    </row>
    <row r="113" customHeight="1" spans="1:2">
      <c r="A113" s="2" t="s">
        <v>408</v>
      </c>
      <c r="B113" s="2">
        <v>626.84</v>
      </c>
    </row>
    <row r="114" customHeight="1" spans="1:2">
      <c r="A114" s="2" t="s">
        <v>409</v>
      </c>
      <c r="B114" s="2">
        <v>637.14</v>
      </c>
    </row>
    <row r="115" customHeight="1" spans="1:2">
      <c r="A115" s="2" t="s">
        <v>410</v>
      </c>
      <c r="B115" s="2">
        <v>643.74</v>
      </c>
    </row>
    <row r="116" customHeight="1" spans="1:2">
      <c r="A116" s="2" t="s">
        <v>411</v>
      </c>
      <c r="B116" s="2">
        <v>644.94</v>
      </c>
    </row>
    <row r="117" customHeight="1" spans="1:2">
      <c r="A117" s="2" t="s">
        <v>412</v>
      </c>
      <c r="B117" s="2">
        <v>651.54</v>
      </c>
    </row>
    <row r="118" customHeight="1" spans="1:2">
      <c r="A118" s="2" t="s">
        <v>413</v>
      </c>
      <c r="B118" s="2">
        <v>657.64</v>
      </c>
    </row>
    <row r="119" customHeight="1" spans="1:2">
      <c r="A119" s="2" t="s">
        <v>414</v>
      </c>
      <c r="B119" s="2">
        <v>659.34</v>
      </c>
    </row>
    <row r="120" customHeight="1" spans="1:2">
      <c r="A120" s="2" t="s">
        <v>415</v>
      </c>
      <c r="B120" s="2">
        <v>667.34</v>
      </c>
    </row>
    <row r="121" customHeight="1" spans="1:2">
      <c r="A121" s="2" t="s">
        <v>416</v>
      </c>
      <c r="B121" s="2">
        <v>678.04</v>
      </c>
    </row>
    <row r="122" customHeight="1" spans="1:2">
      <c r="A122" s="2" t="s">
        <v>417</v>
      </c>
      <c r="B122" s="2">
        <v>684.44</v>
      </c>
    </row>
    <row r="123" customHeight="1" spans="1:2">
      <c r="A123" s="2" t="s">
        <v>418</v>
      </c>
      <c r="B123" s="2">
        <v>692.94</v>
      </c>
    </row>
    <row r="124" customHeight="1" spans="1:2">
      <c r="A124" s="2" t="s">
        <v>419</v>
      </c>
      <c r="B124" s="2">
        <v>694.84</v>
      </c>
    </row>
    <row r="125" customHeight="1" spans="1:2">
      <c r="A125" s="2" t="s">
        <v>420</v>
      </c>
      <c r="B125" s="2">
        <v>699.04</v>
      </c>
    </row>
    <row r="126" customHeight="1" spans="1:2">
      <c r="A126" s="2" t="s">
        <v>421</v>
      </c>
      <c r="B126" s="2">
        <v>705.97</v>
      </c>
    </row>
    <row r="127" customHeight="1" spans="1:2">
      <c r="A127" s="2" t="s">
        <v>422</v>
      </c>
      <c r="B127" s="2">
        <v>713.57</v>
      </c>
    </row>
    <row r="128" customHeight="1" spans="1:2">
      <c r="A128" s="2" t="s">
        <v>423</v>
      </c>
      <c r="B128" s="2">
        <v>719.97</v>
      </c>
    </row>
    <row r="129" customHeight="1" spans="1:2">
      <c r="A129" s="2" t="s">
        <v>424</v>
      </c>
      <c r="B129" s="2">
        <v>732.27</v>
      </c>
    </row>
    <row r="130" customHeight="1" spans="1:2">
      <c r="A130" s="2" t="s">
        <v>425</v>
      </c>
      <c r="B130" s="2">
        <v>735.33</v>
      </c>
    </row>
    <row r="131" customHeight="1" spans="1:2">
      <c r="A131" s="2" t="s">
        <v>426</v>
      </c>
      <c r="B131" s="2">
        <v>741.03</v>
      </c>
    </row>
    <row r="132" customHeight="1" spans="1:2">
      <c r="A132" s="2" t="s">
        <v>427</v>
      </c>
      <c r="B132" s="2">
        <v>748.03</v>
      </c>
    </row>
    <row r="133" customHeight="1" spans="1:2">
      <c r="A133" s="2" t="s">
        <v>428</v>
      </c>
      <c r="B133" s="2">
        <v>753.03</v>
      </c>
    </row>
    <row r="134" customHeight="1" spans="1:2">
      <c r="A134" s="2" t="s">
        <v>429</v>
      </c>
      <c r="B134" s="2">
        <v>757.13</v>
      </c>
    </row>
    <row r="135" customHeight="1" spans="1:2">
      <c r="A135" s="2" t="s">
        <v>430</v>
      </c>
      <c r="B135" s="2">
        <v>766.03</v>
      </c>
    </row>
    <row r="136" customHeight="1" spans="1:2">
      <c r="A136" s="2" t="s">
        <v>431</v>
      </c>
      <c r="B136" s="2">
        <v>771.73</v>
      </c>
    </row>
    <row r="137" customHeight="1" spans="1:2">
      <c r="A137" s="2" t="s">
        <v>432</v>
      </c>
      <c r="B137" s="2">
        <v>779.13</v>
      </c>
    </row>
    <row r="138" customHeight="1" spans="1:2">
      <c r="A138" s="2" t="s">
        <v>433</v>
      </c>
      <c r="B138" s="2">
        <v>785.83</v>
      </c>
    </row>
    <row r="139" customHeight="1" spans="1:2">
      <c r="A139" s="2" t="s">
        <v>434</v>
      </c>
      <c r="B139" s="2">
        <v>786.83</v>
      </c>
    </row>
    <row r="140" customHeight="1" spans="1:2">
      <c r="A140" s="2" t="s">
        <v>435</v>
      </c>
      <c r="B140" s="2">
        <v>792.53</v>
      </c>
    </row>
    <row r="141" customHeight="1" spans="1:2">
      <c r="A141" s="2" t="s">
        <v>436</v>
      </c>
      <c r="B141" s="2">
        <v>797.73</v>
      </c>
    </row>
    <row r="142" customHeight="1" spans="1:2">
      <c r="A142" s="2" t="s">
        <v>437</v>
      </c>
      <c r="B142" s="2">
        <v>802.23</v>
      </c>
    </row>
    <row r="143" customHeight="1" spans="1:2">
      <c r="A143" s="2" t="s">
        <v>438</v>
      </c>
      <c r="B143" s="2">
        <v>803.23</v>
      </c>
    </row>
    <row r="144" customHeight="1" spans="1:2">
      <c r="A144" s="2" t="s">
        <v>439</v>
      </c>
      <c r="B144" s="2">
        <v>808.23</v>
      </c>
    </row>
    <row r="145" customHeight="1" spans="1:2">
      <c r="A145" s="2" t="s">
        <v>440</v>
      </c>
      <c r="B145" s="2">
        <v>812.23</v>
      </c>
    </row>
    <row r="146" customHeight="1" spans="1:2">
      <c r="A146" s="2" t="s">
        <v>441</v>
      </c>
      <c r="B146" s="2">
        <v>818.13</v>
      </c>
    </row>
    <row r="147" customHeight="1" spans="1:2">
      <c r="A147" s="2" t="s">
        <v>268</v>
      </c>
      <c r="B147" s="2">
        <v>823.53</v>
      </c>
    </row>
    <row r="148" customHeight="1" spans="1:2">
      <c r="A148" s="2" t="s">
        <v>270</v>
      </c>
      <c r="B148" s="2">
        <v>830.4</v>
      </c>
    </row>
    <row r="149" customHeight="1" spans="1:2">
      <c r="A149" s="2" t="s">
        <v>272</v>
      </c>
      <c r="B149" s="2">
        <v>833.21</v>
      </c>
    </row>
    <row r="150" customHeight="1" spans="1:2">
      <c r="A150" s="2" t="s">
        <v>274</v>
      </c>
      <c r="B150" s="2">
        <v>835.59</v>
      </c>
    </row>
    <row r="151" customHeight="1" spans="1:2">
      <c r="A151" s="2" t="s">
        <v>276</v>
      </c>
      <c r="B151" s="2">
        <v>837.48</v>
      </c>
    </row>
    <row r="152" customHeight="1" spans="1:2">
      <c r="A152" s="2" t="s">
        <v>278</v>
      </c>
      <c r="B152" s="2">
        <v>841.48</v>
      </c>
    </row>
    <row r="153" customHeight="1" spans="1:2">
      <c r="A153" s="2" t="s">
        <v>280</v>
      </c>
      <c r="B153" s="2">
        <v>847.88</v>
      </c>
    </row>
    <row r="154" customHeight="1" spans="1:2">
      <c r="A154" s="2" t="s">
        <v>282</v>
      </c>
      <c r="B154" s="2">
        <v>852.78</v>
      </c>
    </row>
    <row r="155" customHeight="1" spans="1:2">
      <c r="A155" s="2" t="s">
        <v>284</v>
      </c>
      <c r="B155" s="2">
        <v>855.28</v>
      </c>
    </row>
    <row r="156" customHeight="1" spans="1:2">
      <c r="A156" s="2" t="s">
        <v>286</v>
      </c>
      <c r="B156" s="2">
        <v>858.78</v>
      </c>
    </row>
    <row r="157" customHeight="1" spans="1:2">
      <c r="A157" s="2" t="s">
        <v>288</v>
      </c>
      <c r="B157" s="2">
        <v>862.82</v>
      </c>
    </row>
    <row r="158" customHeight="1" spans="1:2">
      <c r="A158" s="2" t="s">
        <v>290</v>
      </c>
      <c r="B158" s="2">
        <v>868.03</v>
      </c>
    </row>
    <row r="159" customHeight="1" spans="1:2">
      <c r="A159" s="2" t="s">
        <v>292</v>
      </c>
      <c r="B159" s="2">
        <v>872.03</v>
      </c>
    </row>
    <row r="160" customHeight="1" spans="1:2">
      <c r="A160" s="2" t="s">
        <v>294</v>
      </c>
      <c r="B160" s="2">
        <v>872.83</v>
      </c>
    </row>
    <row r="161" customHeight="1" spans="1:2">
      <c r="A161" s="2" t="s">
        <v>296</v>
      </c>
      <c r="B161" s="2">
        <v>881.23</v>
      </c>
    </row>
    <row r="162" customHeight="1" spans="1:2">
      <c r="A162" s="2" t="s">
        <v>298</v>
      </c>
      <c r="B162" s="2">
        <v>888.73</v>
      </c>
    </row>
    <row r="163" customHeight="1" spans="1:2">
      <c r="A163" s="2" t="s">
        <v>300</v>
      </c>
      <c r="B163" s="2">
        <v>895.73</v>
      </c>
    </row>
    <row r="164" customHeight="1" spans="1:2">
      <c r="A164" s="2" t="s">
        <v>302</v>
      </c>
      <c r="B164" s="2">
        <v>903.76</v>
      </c>
    </row>
    <row r="165" customHeight="1" spans="1:2">
      <c r="A165" s="2" t="s">
        <v>304</v>
      </c>
      <c r="B165" s="2">
        <v>914.24</v>
      </c>
    </row>
    <row r="166" customHeight="1" spans="1:2">
      <c r="A166" s="2" t="s">
        <v>306</v>
      </c>
      <c r="B166" s="2">
        <v>922.17</v>
      </c>
    </row>
    <row r="167" customHeight="1" spans="1:2">
      <c r="A167" s="2" t="s">
        <v>308</v>
      </c>
      <c r="B167" s="2">
        <v>928.67</v>
      </c>
    </row>
    <row r="168" customHeight="1" spans="1:2">
      <c r="A168" s="2" t="s">
        <v>310</v>
      </c>
      <c r="B168" s="2">
        <v>934.97</v>
      </c>
    </row>
    <row r="169" customHeight="1" spans="1:2">
      <c r="A169" s="2" t="s">
        <v>312</v>
      </c>
      <c r="B169" s="2">
        <v>942.97</v>
      </c>
    </row>
    <row r="170" customHeight="1" spans="1:2">
      <c r="A170" s="2" t="s">
        <v>314</v>
      </c>
      <c r="B170" s="2">
        <v>951.77</v>
      </c>
    </row>
    <row r="171" customHeight="1" spans="1:2">
      <c r="A171" s="2" t="s">
        <v>316</v>
      </c>
      <c r="B171" s="2">
        <v>959.41</v>
      </c>
    </row>
    <row r="172" customHeight="1" spans="1:2">
      <c r="A172" s="2" t="s">
        <v>318</v>
      </c>
      <c r="B172" s="2">
        <v>970.77</v>
      </c>
    </row>
    <row r="173" customHeight="1" spans="1:2">
      <c r="A173" s="2" t="s">
        <v>320</v>
      </c>
      <c r="B173" s="2">
        <v>978.25</v>
      </c>
    </row>
    <row r="174" customHeight="1" spans="1:2">
      <c r="A174" s="2" t="s">
        <v>322</v>
      </c>
      <c r="B174" s="2">
        <v>985.65</v>
      </c>
    </row>
    <row r="175" customHeight="1" spans="1:2">
      <c r="A175" s="2" t="s">
        <v>324</v>
      </c>
      <c r="B175" s="2">
        <v>996.25</v>
      </c>
    </row>
    <row r="176" customHeight="1" spans="1:2">
      <c r="A176" s="2" t="s">
        <v>326</v>
      </c>
      <c r="B176" s="2">
        <v>1008.05</v>
      </c>
    </row>
    <row r="177" customHeight="1" spans="1:2">
      <c r="A177" s="2" t="s">
        <v>442</v>
      </c>
      <c r="B177" s="2">
        <v>1022.5</v>
      </c>
    </row>
    <row r="178" customHeight="1" spans="1:2">
      <c r="A178" s="2" t="s">
        <v>443</v>
      </c>
      <c r="B178" s="2">
        <v>1030.7</v>
      </c>
    </row>
    <row r="179" customHeight="1" spans="1:2">
      <c r="A179" s="2" t="s">
        <v>444</v>
      </c>
      <c r="B179" s="2">
        <v>1037.7</v>
      </c>
    </row>
    <row r="180" customHeight="1" spans="1:2">
      <c r="A180" s="2" t="s">
        <v>445</v>
      </c>
      <c r="B180" s="2">
        <v>1047.7</v>
      </c>
    </row>
    <row r="181" customHeight="1" spans="1:2">
      <c r="A181" s="2" t="s">
        <v>446</v>
      </c>
      <c r="B181" s="2">
        <v>1057.8</v>
      </c>
    </row>
    <row r="182" customHeight="1" spans="1:2">
      <c r="A182" s="2" t="s">
        <v>447</v>
      </c>
      <c r="B182" s="2">
        <v>1067.9</v>
      </c>
    </row>
    <row r="183" customHeight="1" spans="1:2">
      <c r="A183" s="2" t="s">
        <v>448</v>
      </c>
      <c r="B183" s="2">
        <v>1075.8</v>
      </c>
    </row>
    <row r="184" customHeight="1" spans="1:2">
      <c r="A184" s="2" t="s">
        <v>449</v>
      </c>
      <c r="B184" s="2">
        <v>1085.93</v>
      </c>
    </row>
    <row r="185" customHeight="1" spans="1:2">
      <c r="A185" s="2" t="s">
        <v>450</v>
      </c>
      <c r="B185" s="2">
        <v>1094.64</v>
      </c>
    </row>
    <row r="186" customHeight="1" spans="1:2">
      <c r="A186" s="2" t="s">
        <v>451</v>
      </c>
      <c r="B186" s="2">
        <v>1100.44</v>
      </c>
    </row>
    <row r="187" customHeight="1" spans="1:2">
      <c r="A187" s="2" t="s">
        <v>452</v>
      </c>
      <c r="B187" s="2">
        <v>1106.74</v>
      </c>
    </row>
    <row r="188" customHeight="1" spans="1:2">
      <c r="A188" s="2" t="s">
        <v>453</v>
      </c>
      <c r="B188" s="2">
        <v>1113.4</v>
      </c>
    </row>
    <row r="189" customHeight="1" spans="1:2">
      <c r="A189" s="2" t="s">
        <v>454</v>
      </c>
      <c r="B189" s="2">
        <v>1119.29</v>
      </c>
    </row>
    <row r="190" customHeight="1" spans="1:2">
      <c r="A190" s="2" t="s">
        <v>455</v>
      </c>
      <c r="B190" s="2">
        <v>1123.79</v>
      </c>
    </row>
    <row r="191" customHeight="1" spans="1:2">
      <c r="A191" s="2" t="s">
        <v>456</v>
      </c>
      <c r="B191" s="2">
        <v>1131.59</v>
      </c>
    </row>
    <row r="192" customHeight="1" spans="1:2">
      <c r="A192" s="2" t="s">
        <v>457</v>
      </c>
      <c r="B192" s="2">
        <v>1138.49</v>
      </c>
    </row>
    <row r="193" customHeight="1" spans="1:2">
      <c r="A193" s="2" t="s">
        <v>458</v>
      </c>
      <c r="B193" s="2">
        <v>1141.54</v>
      </c>
    </row>
    <row r="194" customHeight="1" spans="1:2">
      <c r="A194" s="2" t="s">
        <v>459</v>
      </c>
      <c r="B194" s="2">
        <v>1150.65</v>
      </c>
    </row>
    <row r="195" customHeight="1" spans="1:2">
      <c r="A195" s="2" t="s">
        <v>460</v>
      </c>
      <c r="B195" s="2">
        <v>1157.14</v>
      </c>
    </row>
    <row r="196" customHeight="1" spans="1:2">
      <c r="A196" s="2" t="s">
        <v>461</v>
      </c>
      <c r="B196" s="2">
        <v>1165.94</v>
      </c>
    </row>
    <row r="197" customHeight="1" spans="1:2">
      <c r="A197" s="2" t="s">
        <v>462</v>
      </c>
      <c r="B197" s="2">
        <v>1173.86</v>
      </c>
    </row>
    <row r="198" customHeight="1" spans="1:2">
      <c r="A198" s="2" t="s">
        <v>463</v>
      </c>
      <c r="B198" s="2">
        <v>1185.29</v>
      </c>
    </row>
    <row r="199" customHeight="1" spans="1:2">
      <c r="A199" s="2" t="s">
        <v>464</v>
      </c>
      <c r="B199" s="2">
        <v>1192.93</v>
      </c>
    </row>
    <row r="200" customHeight="1" spans="1:2">
      <c r="A200" s="2" t="s">
        <v>465</v>
      </c>
      <c r="B200" s="2">
        <v>1202.96</v>
      </c>
    </row>
    <row r="201" customHeight="1" spans="1:2">
      <c r="A201" s="2" t="s">
        <v>466</v>
      </c>
      <c r="B201" s="2">
        <v>1210.4</v>
      </c>
    </row>
    <row r="202" customHeight="1" spans="1:2">
      <c r="A202" s="2" t="s">
        <v>467</v>
      </c>
      <c r="B202" s="2">
        <v>1214.72</v>
      </c>
    </row>
    <row r="203" customHeight="1" spans="1:2">
      <c r="A203" s="2" t="s">
        <v>468</v>
      </c>
      <c r="B203" s="2">
        <v>1217.2</v>
      </c>
    </row>
    <row r="204" customHeight="1" spans="1:2">
      <c r="A204" s="2" t="s">
        <v>469</v>
      </c>
      <c r="B204" s="2">
        <v>1231.15</v>
      </c>
    </row>
    <row r="205" customHeight="1" spans="1:2">
      <c r="A205" s="2" t="s">
        <v>470</v>
      </c>
      <c r="B205" s="2">
        <v>1240.12</v>
      </c>
    </row>
    <row r="206" customHeight="1" spans="1:2">
      <c r="A206" s="2" t="s">
        <v>471</v>
      </c>
      <c r="B206" s="2">
        <v>1246.8</v>
      </c>
    </row>
    <row r="207" customHeight="1" spans="1:2">
      <c r="A207" s="2" t="s">
        <v>472</v>
      </c>
      <c r="B207" s="2">
        <v>1256.6</v>
      </c>
    </row>
    <row r="208" customHeight="1" spans="1:2">
      <c r="A208" s="2" t="s">
        <v>473</v>
      </c>
      <c r="B208" s="2">
        <v>1266.83</v>
      </c>
    </row>
    <row r="209" customHeight="1" spans="1:2">
      <c r="A209" s="2" t="s">
        <v>474</v>
      </c>
      <c r="B209" s="2">
        <v>1277.11</v>
      </c>
    </row>
    <row r="210" customHeight="1" spans="1:2">
      <c r="A210" s="2" t="s">
        <v>475</v>
      </c>
      <c r="B210" s="2">
        <v>1283.44</v>
      </c>
    </row>
    <row r="211" customHeight="1" spans="1:2">
      <c r="A211" s="2" t="s">
        <v>476</v>
      </c>
      <c r="B211" s="2">
        <v>1296.53</v>
      </c>
    </row>
    <row r="212" customHeight="1" spans="1:2">
      <c r="A212" s="2" t="s">
        <v>477</v>
      </c>
      <c r="B212" s="2">
        <v>1303.9</v>
      </c>
    </row>
    <row r="213" customHeight="1" spans="1:2">
      <c r="A213" s="2" t="s">
        <v>478</v>
      </c>
      <c r="B213" s="2">
        <v>1312.51</v>
      </c>
    </row>
    <row r="214" customHeight="1" spans="1:2">
      <c r="A214" s="2" t="s">
        <v>479</v>
      </c>
      <c r="B214" s="2">
        <v>1320.91</v>
      </c>
    </row>
    <row r="215" customHeight="1" spans="1:2">
      <c r="A215" s="2" t="s">
        <v>480</v>
      </c>
      <c r="B215" s="2">
        <v>1328.21</v>
      </c>
    </row>
    <row r="216" customHeight="1" spans="1:2">
      <c r="A216" s="2" t="s">
        <v>481</v>
      </c>
      <c r="B216" s="2">
        <v>1333.44</v>
      </c>
    </row>
    <row r="217" customHeight="1" spans="1:2">
      <c r="A217" s="2" t="s">
        <v>482</v>
      </c>
      <c r="B217" s="2">
        <v>1341.39</v>
      </c>
    </row>
    <row r="218" customHeight="1" spans="1:2">
      <c r="A218" s="2" t="s">
        <v>483</v>
      </c>
      <c r="B218" s="2">
        <v>1353.56</v>
      </c>
    </row>
    <row r="219" customHeight="1" spans="1:2">
      <c r="A219" s="2" t="s">
        <v>484</v>
      </c>
      <c r="B219" s="2">
        <v>1364.37</v>
      </c>
    </row>
    <row r="220" customHeight="1" spans="1:2">
      <c r="A220" s="2" t="s">
        <v>485</v>
      </c>
      <c r="B220" s="2">
        <v>1372.99</v>
      </c>
    </row>
    <row r="221" customHeight="1" spans="1:2">
      <c r="A221" s="2" t="s">
        <v>486</v>
      </c>
      <c r="B221" s="2">
        <v>1383.93</v>
      </c>
    </row>
    <row r="222" customHeight="1" spans="1:2">
      <c r="A222" s="2" t="s">
        <v>487</v>
      </c>
      <c r="B222" s="2">
        <v>1391.32</v>
      </c>
    </row>
    <row r="223" customHeight="1" spans="1:2">
      <c r="A223" s="2" t="s">
        <v>488</v>
      </c>
      <c r="B223" s="2">
        <v>1403.47</v>
      </c>
    </row>
    <row r="224" customHeight="1" spans="1:2">
      <c r="A224" s="2" t="s">
        <v>489</v>
      </c>
      <c r="B224" s="2">
        <v>1411.23</v>
      </c>
    </row>
    <row r="225" customHeight="1" spans="1:2">
      <c r="A225" s="2" t="s">
        <v>490</v>
      </c>
      <c r="B225" s="2">
        <v>1420.56</v>
      </c>
    </row>
    <row r="226" customHeight="1" spans="1:2">
      <c r="A226" s="2" t="s">
        <v>491</v>
      </c>
      <c r="B226" s="2">
        <v>1428.53</v>
      </c>
    </row>
    <row r="227" customHeight="1" spans="1:2">
      <c r="A227" s="2" t="s">
        <v>492</v>
      </c>
      <c r="B227" s="2">
        <v>1440.82</v>
      </c>
    </row>
    <row r="228" customHeight="1" spans="1:2">
      <c r="A228" s="2" t="s">
        <v>493</v>
      </c>
      <c r="B228" s="2">
        <v>1453.02</v>
      </c>
    </row>
    <row r="229" customHeight="1" spans="1:2">
      <c r="A229" s="2" t="s">
        <v>494</v>
      </c>
      <c r="B229" s="2">
        <v>1460.58</v>
      </c>
    </row>
    <row r="230" customHeight="1" spans="1:2">
      <c r="A230" s="2" t="s">
        <v>495</v>
      </c>
      <c r="B230" s="2">
        <v>1466.88</v>
      </c>
    </row>
    <row r="231" customHeight="1" spans="1:2">
      <c r="A231" s="2" t="s">
        <v>496</v>
      </c>
      <c r="B231" s="2">
        <v>1472.31</v>
      </c>
    </row>
    <row r="232" customHeight="1" spans="1:2">
      <c r="A232" s="2" t="s">
        <v>497</v>
      </c>
      <c r="B232" s="2">
        <v>1480.9</v>
      </c>
    </row>
    <row r="233" customHeight="1" spans="1:2">
      <c r="A233" s="2" t="s">
        <v>498</v>
      </c>
      <c r="B233" s="2">
        <v>1489.89</v>
      </c>
    </row>
    <row r="234" customHeight="1" spans="1:2">
      <c r="A234" s="2" t="s">
        <v>499</v>
      </c>
      <c r="B234" s="2">
        <v>1495.54</v>
      </c>
    </row>
    <row r="235" customHeight="1" spans="1:2">
      <c r="A235" s="2" t="s">
        <v>500</v>
      </c>
      <c r="B235" s="2">
        <v>1500.64</v>
      </c>
    </row>
    <row r="236" customHeight="1" spans="1:2">
      <c r="A236" s="2" t="s">
        <v>501</v>
      </c>
      <c r="B236" s="2">
        <v>1512.56</v>
      </c>
    </row>
    <row r="237" customHeight="1" spans="1:2">
      <c r="A237" s="2" t="s">
        <v>502</v>
      </c>
      <c r="B237" s="2">
        <v>1518.91</v>
      </c>
    </row>
    <row r="238" customHeight="1" spans="1:2">
      <c r="A238" s="2" t="s">
        <v>503</v>
      </c>
      <c r="B238" s="2">
        <v>1527.43</v>
      </c>
    </row>
    <row r="239" customHeight="1" spans="1:2">
      <c r="A239" s="2" t="s">
        <v>504</v>
      </c>
      <c r="B239" s="2">
        <v>1531.66</v>
      </c>
    </row>
    <row r="240" customHeight="1" spans="1:2">
      <c r="A240" s="2" t="s">
        <v>505</v>
      </c>
      <c r="B240" s="2">
        <v>1544.28</v>
      </c>
    </row>
    <row r="241" customHeight="1" spans="1:2">
      <c r="A241" s="2" t="s">
        <v>506</v>
      </c>
      <c r="B241" s="2">
        <v>1555.79</v>
      </c>
    </row>
    <row r="242" customHeight="1" spans="1:2">
      <c r="A242" s="2" t="s">
        <v>507</v>
      </c>
      <c r="B242" s="2">
        <v>1567.14</v>
      </c>
    </row>
    <row r="243" customHeight="1" spans="1:2">
      <c r="A243" s="2" t="s">
        <v>508</v>
      </c>
      <c r="B243" s="2">
        <v>1576.91</v>
      </c>
    </row>
    <row r="244" customHeight="1" spans="1:2">
      <c r="A244" s="2" t="s">
        <v>509</v>
      </c>
      <c r="B244" s="2">
        <v>1588.64</v>
      </c>
    </row>
    <row r="245" customHeight="1" spans="1:2">
      <c r="A245" s="2" t="s">
        <v>510</v>
      </c>
      <c r="B245" s="2">
        <v>1595.93</v>
      </c>
    </row>
    <row r="246" customHeight="1" spans="1:2">
      <c r="A246" s="2" t="s">
        <v>511</v>
      </c>
      <c r="B246" s="2">
        <v>1603.38</v>
      </c>
    </row>
    <row r="247" customHeight="1" spans="1:2">
      <c r="A247" s="2" t="s">
        <v>512</v>
      </c>
      <c r="B247" s="2">
        <v>1614.02</v>
      </c>
    </row>
    <row r="248" customHeight="1" spans="1:2">
      <c r="A248" s="2" t="s">
        <v>513</v>
      </c>
      <c r="B248" s="2">
        <v>1622.68</v>
      </c>
    </row>
    <row r="249" customHeight="1" spans="1:2">
      <c r="A249" s="2" t="s">
        <v>514</v>
      </c>
      <c r="B249" s="2">
        <v>1629.21</v>
      </c>
    </row>
    <row r="250" customHeight="1" spans="1:2">
      <c r="A250" s="2" t="s">
        <v>515</v>
      </c>
      <c r="B250" s="2">
        <v>1639</v>
      </c>
    </row>
    <row r="251" customHeight="1" spans="1:2">
      <c r="A251" s="2" t="s">
        <v>516</v>
      </c>
      <c r="B251" s="2">
        <v>1648.32</v>
      </c>
    </row>
    <row r="252" customHeight="1" spans="1:2">
      <c r="A252" s="2" t="s">
        <v>517</v>
      </c>
      <c r="B252" s="2">
        <v>1656.19</v>
      </c>
    </row>
    <row r="253" customHeight="1" spans="1:2">
      <c r="A253" s="2" t="s">
        <v>518</v>
      </c>
      <c r="B253" s="2">
        <v>1669.78</v>
      </c>
    </row>
    <row r="254" customHeight="1" spans="1:2">
      <c r="A254" s="2" t="s">
        <v>519</v>
      </c>
      <c r="B254" s="2">
        <v>1680.11</v>
      </c>
    </row>
    <row r="255" customHeight="1" spans="1:2">
      <c r="A255" s="2" t="s">
        <v>520</v>
      </c>
      <c r="B255" s="2">
        <v>1690.51</v>
      </c>
    </row>
    <row r="256" customHeight="1" spans="1:2">
      <c r="A256" s="2" t="s">
        <v>521</v>
      </c>
      <c r="B256" s="2">
        <v>1696.97</v>
      </c>
    </row>
    <row r="257" customHeight="1" spans="1:2">
      <c r="A257" s="2" t="s">
        <v>522</v>
      </c>
      <c r="B257" s="2">
        <v>1702.29</v>
      </c>
    </row>
    <row r="258" customHeight="1" spans="1:2">
      <c r="A258" s="2" t="s">
        <v>523</v>
      </c>
      <c r="B258" s="2">
        <v>1710.48</v>
      </c>
    </row>
    <row r="259" customHeight="1" spans="1:2">
      <c r="A259" s="2" t="s">
        <v>524</v>
      </c>
      <c r="B259" s="2">
        <v>1715.6</v>
      </c>
    </row>
    <row r="260" customHeight="1" spans="1:2">
      <c r="A260" s="2" t="s">
        <v>525</v>
      </c>
      <c r="B260" s="2">
        <v>1726.5</v>
      </c>
    </row>
    <row r="261" customHeight="1" spans="1:2">
      <c r="A261" s="2" t="s">
        <v>526</v>
      </c>
      <c r="B261" s="2">
        <v>1740.4</v>
      </c>
    </row>
    <row r="262" customHeight="1" spans="1:2">
      <c r="A262" s="2" t="s">
        <v>527</v>
      </c>
      <c r="B262" s="2">
        <v>1750.25</v>
      </c>
    </row>
    <row r="263" customHeight="1" spans="1:2">
      <c r="A263" s="2" t="s">
        <v>528</v>
      </c>
      <c r="B263" s="2">
        <v>1757.27</v>
      </c>
    </row>
    <row r="264" customHeight="1" spans="1:2">
      <c r="A264" s="2" t="s">
        <v>529</v>
      </c>
      <c r="B264" s="2">
        <v>1763.37</v>
      </c>
    </row>
    <row r="265" customHeight="1" spans="1:2">
      <c r="A265" s="2" t="s">
        <v>530</v>
      </c>
      <c r="B265" s="2">
        <v>1769.94</v>
      </c>
    </row>
    <row r="266" customHeight="1" spans="1:2">
      <c r="A266" s="2" t="s">
        <v>531</v>
      </c>
      <c r="B266" s="2">
        <v>1777.18</v>
      </c>
    </row>
    <row r="267" customHeight="1" spans="1:2">
      <c r="A267" s="2" t="s">
        <v>532</v>
      </c>
      <c r="B267" s="2">
        <v>1788.7</v>
      </c>
    </row>
    <row r="268" customHeight="1" spans="1:2">
      <c r="A268" s="2" t="s">
        <v>533</v>
      </c>
      <c r="B268" s="2">
        <v>1794.37</v>
      </c>
    </row>
    <row r="269" customHeight="1" spans="1:2">
      <c r="A269" s="2" t="s">
        <v>534</v>
      </c>
      <c r="B269" s="2">
        <v>1805.59</v>
      </c>
    </row>
    <row r="270" customHeight="1" spans="1:2">
      <c r="A270" s="2" t="s">
        <v>535</v>
      </c>
      <c r="B270" s="2">
        <v>1814.31</v>
      </c>
    </row>
    <row r="271" customHeight="1" spans="1:2">
      <c r="A271" s="2" t="s">
        <v>536</v>
      </c>
      <c r="B271" s="2">
        <v>1820.68</v>
      </c>
    </row>
    <row r="272" customHeight="1" spans="1:2">
      <c r="A272" s="2" t="s">
        <v>537</v>
      </c>
      <c r="B272" s="2">
        <v>1830.03</v>
      </c>
    </row>
    <row r="273" customHeight="1" spans="1:2">
      <c r="A273" s="2" t="s">
        <v>538</v>
      </c>
      <c r="B273" s="2">
        <v>1839.27</v>
      </c>
    </row>
    <row r="274" customHeight="1" spans="1:2">
      <c r="A274" s="2" t="s">
        <v>539</v>
      </c>
      <c r="B274" s="2">
        <v>1841.57</v>
      </c>
    </row>
    <row r="275" customHeight="1" spans="1:2">
      <c r="A275" s="2" t="s">
        <v>540</v>
      </c>
      <c r="B275" s="2">
        <v>1846.09</v>
      </c>
    </row>
    <row r="276" customHeight="1" spans="1:2">
      <c r="A276" s="2" t="s">
        <v>541</v>
      </c>
      <c r="B276" s="2">
        <v>1850.78</v>
      </c>
    </row>
    <row r="277" customHeight="1" spans="1:2">
      <c r="A277" s="2" t="s">
        <v>542</v>
      </c>
      <c r="B277" s="2">
        <v>1855.2</v>
      </c>
    </row>
    <row r="278" customHeight="1" spans="1:2">
      <c r="A278" s="2" t="s">
        <v>543</v>
      </c>
      <c r="B278" s="2">
        <v>1862.6</v>
      </c>
    </row>
    <row r="279" customHeight="1" spans="1:2">
      <c r="A279" s="2" t="s">
        <v>544</v>
      </c>
      <c r="B279" s="2">
        <v>1868.73</v>
      </c>
    </row>
    <row r="280" customHeight="1" spans="1:2">
      <c r="A280" s="2" t="s">
        <v>545</v>
      </c>
      <c r="B280" s="2">
        <v>1874.76</v>
      </c>
    </row>
    <row r="281" customHeight="1" spans="1:2">
      <c r="A281" s="2" t="s">
        <v>546</v>
      </c>
      <c r="B281" s="2">
        <v>1880.89</v>
      </c>
    </row>
    <row r="282" customHeight="1" spans="1:2">
      <c r="A282" s="2" t="s">
        <v>547</v>
      </c>
      <c r="B282" s="2">
        <v>1890.33</v>
      </c>
    </row>
    <row r="283" customHeight="1" spans="1:2">
      <c r="A283" s="2" t="s">
        <v>548</v>
      </c>
      <c r="B283" s="2">
        <v>1896.36</v>
      </c>
    </row>
    <row r="284" customHeight="1" spans="1:2">
      <c r="A284" s="2" t="s">
        <v>549</v>
      </c>
      <c r="B284" s="2">
        <v>1904.36</v>
      </c>
    </row>
    <row r="285" customHeight="1" spans="1:2">
      <c r="A285" s="2" t="s">
        <v>550</v>
      </c>
      <c r="B285" s="2">
        <v>1911.71</v>
      </c>
    </row>
    <row r="286" customHeight="1" spans="1:2">
      <c r="A286" s="2" t="s">
        <v>551</v>
      </c>
      <c r="B286" s="2">
        <v>1917.78</v>
      </c>
    </row>
    <row r="287" customHeight="1" spans="1:2">
      <c r="A287" s="2" t="s">
        <v>552</v>
      </c>
      <c r="B287" s="2">
        <v>1919.51</v>
      </c>
    </row>
    <row r="288" customHeight="1" spans="1:2">
      <c r="A288" s="2" t="s">
        <v>553</v>
      </c>
      <c r="B288" s="2">
        <v>1922.55</v>
      </c>
    </row>
    <row r="289" customHeight="1" spans="1:2">
      <c r="A289" s="2" t="s">
        <v>554</v>
      </c>
      <c r="B289" s="2">
        <v>1926.25</v>
      </c>
    </row>
    <row r="290" customHeight="1" spans="1:2">
      <c r="A290" s="2" t="s">
        <v>555</v>
      </c>
      <c r="B290" s="2">
        <v>1927.7</v>
      </c>
    </row>
    <row r="291" customHeight="1" spans="1:2">
      <c r="A291" s="2" t="s">
        <v>556</v>
      </c>
      <c r="B291" s="2">
        <v>1928.9</v>
      </c>
    </row>
    <row r="292" customHeight="1" spans="1:2">
      <c r="A292" s="2" t="s">
        <v>240</v>
      </c>
      <c r="B292" s="2">
        <v>1933.3</v>
      </c>
    </row>
    <row r="293" customHeight="1" spans="1:2">
      <c r="A293" s="2" t="s">
        <v>244</v>
      </c>
      <c r="B293" s="2">
        <v>1936.68</v>
      </c>
    </row>
    <row r="294" customHeight="1" spans="1:2">
      <c r="A294" s="2" t="s">
        <v>246</v>
      </c>
      <c r="B294" s="2">
        <v>1940.35</v>
      </c>
    </row>
    <row r="295" customHeight="1" spans="1:2">
      <c r="A295" s="2" t="s">
        <v>238</v>
      </c>
      <c r="B295" s="2">
        <v>1942.73</v>
      </c>
    </row>
    <row r="296" customHeight="1" spans="1:2">
      <c r="A296" s="2" t="s">
        <v>236</v>
      </c>
      <c r="B296" s="2">
        <v>1945.19</v>
      </c>
    </row>
    <row r="297" customHeight="1" spans="1:2">
      <c r="A297" s="2" t="s">
        <v>234</v>
      </c>
      <c r="B297" s="2">
        <v>1947.29</v>
      </c>
    </row>
    <row r="298" customHeight="1" spans="1:2">
      <c r="A298" s="2" t="s">
        <v>232</v>
      </c>
      <c r="B298" s="2">
        <v>1949.19</v>
      </c>
    </row>
    <row r="299" customHeight="1" spans="1:2">
      <c r="A299" s="2" t="s">
        <v>230</v>
      </c>
      <c r="B299" s="2">
        <v>1951.06</v>
      </c>
    </row>
    <row r="300" customHeight="1" spans="1:2">
      <c r="A300" s="2" t="s">
        <v>228</v>
      </c>
      <c r="B300" s="2">
        <v>1952.9</v>
      </c>
    </row>
    <row r="301" customHeight="1" spans="1:2">
      <c r="A301" s="2" t="s">
        <v>226</v>
      </c>
      <c r="B301" s="2">
        <v>1956.45</v>
      </c>
    </row>
    <row r="302" customHeight="1" spans="1:2">
      <c r="A302" s="2" t="s">
        <v>224</v>
      </c>
      <c r="B302" s="2">
        <v>1957.95</v>
      </c>
    </row>
    <row r="303" customHeight="1" spans="1:2">
      <c r="A303" s="2" t="s">
        <v>222</v>
      </c>
      <c r="B303" s="2">
        <v>1960.36</v>
      </c>
    </row>
    <row r="304" customHeight="1" spans="1:2">
      <c r="A304" s="2" t="s">
        <v>220</v>
      </c>
      <c r="B304" s="2">
        <v>1963.04</v>
      </c>
    </row>
    <row r="305" customHeight="1" spans="1:2">
      <c r="A305" s="2" t="s">
        <v>218</v>
      </c>
      <c r="B305" s="2">
        <v>1965.63</v>
      </c>
    </row>
    <row r="306" customHeight="1" spans="1:2">
      <c r="A306" s="2" t="s">
        <v>216</v>
      </c>
      <c r="B306" s="2">
        <v>1966.9</v>
      </c>
    </row>
    <row r="307" customHeight="1" spans="1:2">
      <c r="A307" s="2" t="s">
        <v>214</v>
      </c>
      <c r="B307" s="2">
        <v>1968.1</v>
      </c>
    </row>
    <row r="308" customHeight="1" spans="1:2">
      <c r="A308" s="2" t="s">
        <v>212</v>
      </c>
      <c r="B308" s="2">
        <v>1969.68</v>
      </c>
    </row>
    <row r="309" customHeight="1" spans="1:2">
      <c r="A309" s="2" t="s">
        <v>210</v>
      </c>
      <c r="B309" s="2">
        <v>1970.22</v>
      </c>
    </row>
    <row r="310" customHeight="1" spans="1:2">
      <c r="A310" s="2" t="s">
        <v>208</v>
      </c>
      <c r="B310" s="2">
        <v>1971.71</v>
      </c>
    </row>
    <row r="311" customHeight="1" spans="1:2">
      <c r="A311" s="2" t="s">
        <v>206</v>
      </c>
      <c r="B311" s="2">
        <v>1973.67</v>
      </c>
    </row>
    <row r="312" customHeight="1" spans="1:2">
      <c r="A312" s="2" t="s">
        <v>204</v>
      </c>
      <c r="B312" s="2">
        <v>1974.53</v>
      </c>
    </row>
    <row r="313" customHeight="1" spans="1:2">
      <c r="A313" s="2" t="s">
        <v>202</v>
      </c>
      <c r="B313" s="2">
        <v>1975.75</v>
      </c>
    </row>
    <row r="314" customHeight="1" spans="1:2">
      <c r="A314" s="2" t="s">
        <v>557</v>
      </c>
      <c r="B314" s="2">
        <v>409.47</v>
      </c>
    </row>
    <row r="315" customHeight="1" spans="1:2">
      <c r="A315" s="2" t="s">
        <v>558</v>
      </c>
      <c r="B315" s="2">
        <v>406.47</v>
      </c>
    </row>
    <row r="316" customHeight="1" spans="1:2">
      <c r="A316" s="2" t="s">
        <v>350</v>
      </c>
      <c r="B316" s="2">
        <v>850</v>
      </c>
    </row>
    <row r="317" customHeight="1" spans="1:2">
      <c r="A317" s="2" t="s">
        <v>352</v>
      </c>
      <c r="B317" s="2">
        <v>848</v>
      </c>
    </row>
    <row r="318" customHeight="1" spans="1:2">
      <c r="A318" s="2" t="s">
        <v>354</v>
      </c>
      <c r="B318" s="2">
        <v>846</v>
      </c>
    </row>
    <row r="319" customHeight="1" spans="1:2">
      <c r="A319" s="2" t="s">
        <v>356</v>
      </c>
      <c r="B319" s="2">
        <v>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</cp:lastModifiedBy>
  <dcterms:created xsi:type="dcterms:W3CDTF">2026-07-08T04:51:00Z</dcterms:created>
  <dcterms:modified xsi:type="dcterms:W3CDTF">2026-08-18T20:53:29Z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3D6F6FE867EA4E0AA6C99FB6FFFE3305_12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